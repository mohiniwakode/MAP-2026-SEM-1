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pivotTables/pivotTable3.xml" ContentType="application/vnd.openxmlformats-officedocument.spreadsheetml.pivot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69D15FC-F3C7-40E0-AE7B-F8411072B7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  <sheet name="MARKETING" sheetId="2" r:id="rId2"/>
    <sheet name="FINANCE" sheetId="3" r:id="rId3"/>
    <sheet name="HR" sheetId="4" r:id="rId4"/>
    <sheet name="INSURANCE" sheetId="5" r:id="rId5"/>
  </sheets>
  <calcPr calcId="191029"/>
  <pivotCaches>
    <pivotCache cacheId="0" r:id="rId6"/>
    <pivotCache cacheId="2" r:id="rId7"/>
    <pivotCache cacheId="14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5" l="1"/>
  <c r="C23" i="5"/>
  <c r="C24" i="5"/>
  <c r="C25" i="5"/>
  <c r="C26" i="5"/>
  <c r="B51" i="1"/>
  <c r="C58" i="5"/>
  <c r="C57" i="5"/>
  <c r="C55" i="5"/>
  <c r="C54" i="5"/>
  <c r="C50" i="5"/>
  <c r="C49" i="5"/>
  <c r="C49" i="4"/>
  <c r="C48" i="4"/>
  <c r="C49" i="2"/>
  <c r="C48" i="2"/>
  <c r="B50" i="1"/>
  <c r="C46" i="5"/>
  <c r="C37" i="5"/>
  <c r="C36" i="5"/>
  <c r="C35" i="5"/>
  <c r="C34" i="5"/>
  <c r="C30" i="5"/>
  <c r="C29" i="5"/>
  <c r="C45" i="5"/>
  <c r="C57" i="4"/>
  <c r="C56" i="4"/>
  <c r="C55" i="4"/>
  <c r="C54" i="4"/>
  <c r="C53" i="4"/>
  <c r="C45" i="4"/>
  <c r="C35" i="4"/>
  <c r="C34" i="4"/>
  <c r="C33" i="4"/>
  <c r="C30" i="4"/>
  <c r="C29" i="4"/>
  <c r="C28" i="4"/>
  <c r="C25" i="4"/>
  <c r="C24" i="4"/>
  <c r="C23" i="4"/>
  <c r="C22" i="4"/>
  <c r="C21" i="4"/>
  <c r="C44" i="4" s="1"/>
  <c r="C57" i="2"/>
  <c r="C56" i="2"/>
  <c r="C55" i="2"/>
  <c r="C54" i="2"/>
  <c r="C53" i="2"/>
  <c r="C45" i="2"/>
  <c r="C36" i="2"/>
  <c r="C35" i="2"/>
  <c r="C34" i="2"/>
  <c r="C33" i="2"/>
  <c r="C30" i="2"/>
  <c r="C29" i="2"/>
  <c r="C28" i="2"/>
  <c r="C25" i="2"/>
  <c r="C24" i="2"/>
  <c r="C23" i="2"/>
  <c r="C22" i="2"/>
  <c r="C21" i="2"/>
  <c r="C44" i="2" s="1"/>
  <c r="B59" i="1"/>
  <c r="B58" i="1"/>
  <c r="B56" i="1"/>
  <c r="B55" i="1"/>
  <c r="C41" i="5"/>
  <c r="C40" i="5"/>
  <c r="C31" i="5"/>
  <c r="C40" i="4"/>
  <c r="C39" i="4"/>
  <c r="C36" i="4"/>
  <c r="C40" i="3"/>
  <c r="C39" i="3"/>
  <c r="C40" i="2"/>
  <c r="C39" i="2"/>
  <c r="B29" i="1"/>
  <c r="B46" i="1"/>
  <c r="B41" i="1"/>
  <c r="B40" i="1"/>
  <c r="B37" i="1"/>
  <c r="B36" i="1"/>
  <c r="B35" i="1"/>
  <c r="B34" i="1"/>
  <c r="B31" i="1"/>
  <c r="B30" i="1"/>
  <c r="B26" i="1"/>
  <c r="B25" i="1"/>
  <c r="B24" i="1"/>
  <c r="B23" i="1"/>
  <c r="B22" i="1"/>
  <c r="B45" i="1" s="1"/>
  <c r="B16" i="3"/>
  <c r="C16" i="3" s="1"/>
  <c r="B17" i="3"/>
  <c r="C17" i="3" s="1"/>
  <c r="B18" i="3"/>
  <c r="C18" i="3" s="1"/>
  <c r="B5" i="3"/>
  <c r="C5" i="3" s="1"/>
  <c r="B6" i="3"/>
  <c r="B7" i="3"/>
  <c r="C7" i="3" s="1"/>
  <c r="B8" i="3"/>
  <c r="C8" i="3" s="1"/>
  <c r="B9" i="3"/>
  <c r="C9" i="3" s="1"/>
  <c r="B10" i="3"/>
  <c r="C10" i="3" s="1"/>
  <c r="B11" i="3"/>
  <c r="C11" i="3" s="1"/>
  <c r="B12" i="3"/>
  <c r="C35" i="3" s="1"/>
  <c r="B13" i="3"/>
  <c r="C13" i="3" s="1"/>
  <c r="B14" i="3"/>
  <c r="C14" i="3" s="1"/>
  <c r="B15" i="3"/>
  <c r="C15" i="3" s="1"/>
  <c r="B4" i="3"/>
  <c r="C49" i="3" s="1"/>
  <c r="F6" i="3" l="1"/>
  <c r="C33" i="3"/>
  <c r="C34" i="3"/>
  <c r="C12" i="3"/>
  <c r="C36" i="3" s="1"/>
  <c r="C6" i="3"/>
  <c r="C48" i="3" s="1"/>
  <c r="C4" i="3"/>
  <c r="C29" i="3"/>
  <c r="C21" i="3" l="1"/>
  <c r="C44" i="3" s="1"/>
  <c r="C57" i="3"/>
  <c r="C28" i="3"/>
  <c r="C56" i="3"/>
  <c r="C25" i="3"/>
  <c r="C24" i="3"/>
  <c r="C54" i="3"/>
  <c r="C53" i="3"/>
  <c r="C23" i="3"/>
  <c r="C45" i="3"/>
  <c r="C22" i="3"/>
  <c r="C30" i="3"/>
</calcChain>
</file>

<file path=xl/sharedStrings.xml><?xml version="1.0" encoding="utf-8"?>
<sst xmlns="http://schemas.openxmlformats.org/spreadsheetml/2006/main" count="322" uniqueCount="123">
  <si>
    <t>Date</t>
  </si>
  <si>
    <t>Product</t>
  </si>
  <si>
    <t>Region</t>
  </si>
  <si>
    <t>Sales Amount</t>
  </si>
  <si>
    <t>Profit</t>
  </si>
  <si>
    <t>Smartphone</t>
  </si>
  <si>
    <t>Laptop</t>
  </si>
  <si>
    <t>television</t>
  </si>
  <si>
    <t>camera</t>
  </si>
  <si>
    <t>North</t>
  </si>
  <si>
    <t>East</t>
  </si>
  <si>
    <t>South</t>
  </si>
  <si>
    <t>West</t>
  </si>
  <si>
    <t>Campaign</t>
  </si>
  <si>
    <t>Leads generated</t>
  </si>
  <si>
    <t>Cost</t>
  </si>
  <si>
    <t>Conversion rate</t>
  </si>
  <si>
    <t>School</t>
  </si>
  <si>
    <t>New year</t>
  </si>
  <si>
    <t>IndependenceDay</t>
  </si>
  <si>
    <t>RepublicDay</t>
  </si>
  <si>
    <t>Children</t>
  </si>
  <si>
    <t>Revenue</t>
  </si>
  <si>
    <t>Expenses</t>
  </si>
  <si>
    <t>Budget vs Actual</t>
  </si>
  <si>
    <t>Department</t>
  </si>
  <si>
    <t>Salary</t>
  </si>
  <si>
    <t>Experience</t>
  </si>
  <si>
    <t>Attrition</t>
  </si>
  <si>
    <t>Sales</t>
  </si>
  <si>
    <t>Marketing</t>
  </si>
  <si>
    <t>Finance</t>
  </si>
  <si>
    <t>HR</t>
  </si>
  <si>
    <t>IT</t>
  </si>
  <si>
    <t>yes</t>
  </si>
  <si>
    <t>no</t>
  </si>
  <si>
    <t>Premium</t>
  </si>
  <si>
    <t>Policy Type</t>
  </si>
  <si>
    <t>Health</t>
  </si>
  <si>
    <t>Life</t>
  </si>
  <si>
    <t>Vehicle</t>
  </si>
  <si>
    <t>Home</t>
  </si>
  <si>
    <t>Mathematical Functions</t>
  </si>
  <si>
    <t>SUM</t>
  </si>
  <si>
    <t>AVERAGE</t>
  </si>
  <si>
    <t>MIN</t>
  </si>
  <si>
    <t>MAX</t>
  </si>
  <si>
    <t>COUNT</t>
  </si>
  <si>
    <t>Logical functions</t>
  </si>
  <si>
    <t>IF</t>
  </si>
  <si>
    <t>AND</t>
  </si>
  <si>
    <t>OR</t>
  </si>
  <si>
    <t>Text functions</t>
  </si>
  <si>
    <t>LEFT</t>
  </si>
  <si>
    <t>RIGHT</t>
  </si>
  <si>
    <t>MID</t>
  </si>
  <si>
    <t>CONCAT</t>
  </si>
  <si>
    <t>Data functions</t>
  </si>
  <si>
    <t>TODAY</t>
  </si>
  <si>
    <t>NOW</t>
  </si>
  <si>
    <t>DATEDIF</t>
  </si>
  <si>
    <t>Financial functions</t>
  </si>
  <si>
    <t>PMT</t>
  </si>
  <si>
    <t>NPV</t>
  </si>
  <si>
    <t>Lookup functions</t>
  </si>
  <si>
    <t>VLOOUP</t>
  </si>
  <si>
    <t>HLOOKUP</t>
  </si>
  <si>
    <t>XLOOKUP</t>
  </si>
  <si>
    <t>Statistical functions</t>
  </si>
  <si>
    <t>MEAN</t>
  </si>
  <si>
    <t>MEDIAN</t>
  </si>
  <si>
    <t>MODE</t>
  </si>
  <si>
    <t>STANDARD DEVIATION</t>
  </si>
  <si>
    <t>CORRELATION</t>
  </si>
  <si>
    <t>Row Labels</t>
  </si>
  <si>
    <t>Grand Total</t>
  </si>
  <si>
    <t>Sum of Profit</t>
  </si>
  <si>
    <t>Sum of Premium</t>
  </si>
  <si>
    <t>Employee ID</t>
  </si>
  <si>
    <t>Policy Number</t>
  </si>
  <si>
    <t>Customer Age</t>
  </si>
  <si>
    <t>Claim Amount</t>
  </si>
  <si>
    <t>blood donation</t>
  </si>
  <si>
    <t>women's day</t>
  </si>
  <si>
    <t>tree plantation</t>
  </si>
  <si>
    <t>teachers day</t>
  </si>
  <si>
    <t>sum of expenses</t>
  </si>
  <si>
    <t xml:space="preserve">                           Logical functions</t>
  </si>
  <si>
    <t xml:space="preserve">                        Text functions</t>
  </si>
  <si>
    <r>
      <t xml:space="preserve">           </t>
    </r>
    <r>
      <rPr>
        <b/>
        <sz val="12"/>
        <color theme="0"/>
        <rFont val="Calibri"/>
        <family val="2"/>
        <scheme val="minor"/>
      </rPr>
      <t xml:space="preserve">           Data functions</t>
    </r>
  </si>
  <si>
    <t xml:space="preserve">                          Financial functions</t>
  </si>
  <si>
    <t xml:space="preserve">                      Lookup functions</t>
  </si>
  <si>
    <t xml:space="preserve">                      statistical function</t>
  </si>
  <si>
    <t>technical</t>
  </si>
  <si>
    <t>advertisement</t>
  </si>
  <si>
    <t>p4001</t>
  </si>
  <si>
    <t>p4002</t>
  </si>
  <si>
    <t>p4003</t>
  </si>
  <si>
    <t>p4004</t>
  </si>
  <si>
    <t>p4005</t>
  </si>
  <si>
    <t>p4006</t>
  </si>
  <si>
    <t>p4007</t>
  </si>
  <si>
    <t>p4008</t>
  </si>
  <si>
    <t>p4009</t>
  </si>
  <si>
    <t>p4010</t>
  </si>
  <si>
    <t>p4011</t>
  </si>
  <si>
    <t>p4012</t>
  </si>
  <si>
    <t>p4013</t>
  </si>
  <si>
    <t>p4014</t>
  </si>
  <si>
    <t>p4015</t>
  </si>
  <si>
    <t>education</t>
  </si>
  <si>
    <t>p4016</t>
  </si>
  <si>
    <t xml:space="preserve">                 SALES DATA</t>
  </si>
  <si>
    <r>
      <t xml:space="preserve">               </t>
    </r>
    <r>
      <rPr>
        <sz val="22"/>
        <color theme="0"/>
        <rFont val="Algerian"/>
        <family val="5"/>
      </rPr>
      <t>MARKETING DATA</t>
    </r>
  </si>
  <si>
    <t xml:space="preserve">                  FINANCE DATA</t>
  </si>
  <si>
    <t xml:space="preserve">                         HUMAN RESOURCE DATA</t>
  </si>
  <si>
    <t xml:space="preserve">                           INSURANCE DATA</t>
  </si>
  <si>
    <t xml:space="preserve">                                                                Logical functions</t>
  </si>
  <si>
    <t xml:space="preserve">                                                                            Statistical functions</t>
  </si>
  <si>
    <t xml:space="preserve">                                                                             Lookup functions</t>
  </si>
  <si>
    <t xml:space="preserve">                                                                                        Financial functions</t>
  </si>
  <si>
    <t xml:space="preserve">                                                                              Data functions</t>
  </si>
  <si>
    <t xml:space="preserve">                                                                             Text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</si>
</sst>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28"/>
      <color theme="0"/>
      <name val="Algerian"/>
      <family val="5"/>
    </font>
    <font>
      <sz val="22"/>
      <color theme="0"/>
      <name val="Algerian"/>
      <family val="5"/>
    </font>
    <font>
      <sz val="22"/>
      <color theme="5" tint="-0.249977111117893"/>
      <name val="Algerian"/>
      <family val="5"/>
    </font>
    <font>
      <sz val="22"/>
      <color theme="5" tint="-0.249977111117893"/>
      <name val="Calibri"/>
      <family val="2"/>
      <scheme val="minor"/>
    </font>
    <font>
      <sz val="22"/>
      <color theme="1"/>
      <name val="Algerian"/>
      <family val="5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left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22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8" fontId="0" fillId="0" borderId="2" xfId="0" applyNumberFormat="1" applyBorder="1" applyAlignment="1">
      <alignment horizontal="center"/>
    </xf>
    <xf numFmtId="8" fontId="0" fillId="0" borderId="10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0" fillId="0" borderId="0" xfId="0" pivotButton="1" applyAlignment="1">
      <alignment horizontal="center"/>
    </xf>
    <xf numFmtId="0" fontId="0" fillId="5" borderId="0" xfId="0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NumberFormat="1"/>
    <xf numFmtId="0" fontId="5" fillId="4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8" fillId="4" borderId="12" xfId="0" applyFont="1" applyFill="1" applyBorder="1" applyAlignment="1">
      <alignment horizontal="center"/>
    </xf>
    <xf numFmtId="0" fontId="8" fillId="4" borderId="14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/>
    </xf>
    <xf numFmtId="0" fontId="7" fillId="5" borderId="16" xfId="0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10" fillId="4" borderId="13" xfId="0" applyFont="1" applyFill="1" applyBorder="1" applyAlignment="1">
      <alignment horizontal="center"/>
    </xf>
    <xf numFmtId="0" fontId="11" fillId="4" borderId="13" xfId="0" applyFont="1" applyFill="1" applyBorder="1" applyAlignment="1">
      <alignment horizontal="center"/>
    </xf>
    <xf numFmtId="0" fontId="12" fillId="4" borderId="13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10" fillId="4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399"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numFmt numFmtId="12" formatCode="&quot;₹&quot;\ #,##0.00;[Red]&quot;₹&quot;\ \-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numFmt numFmtId="12" formatCode="&quot;₹&quot;\ #,##0.00;[Red]&quot;₹&quot;\ \-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numFmt numFmtId="12" formatCode="&quot;₹&quot;\ #,##0.00;[Red]&quot;₹&quot;\ \-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numFmt numFmtId="12" formatCode="&quot;₹&quot;\ #,##0.00;[Red]&quot;₹&quot;\ \-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numFmt numFmtId="12" formatCode="&quot;₹&quot;\ #,##0.00;[Red]&quot;₹&quot;\ \-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numFmt numFmtId="12" formatCode="&quot;₹&quot;\ #,##0.00;[Red]&quot;₹&quot;\ \-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4040000</c:v>
              </c:pt>
              <c:pt idx="1">
                <c:v>4240000</c:v>
              </c:pt>
              <c:pt idx="2">
                <c:v>2940000</c:v>
              </c:pt>
              <c:pt idx="3">
                <c:v>3300000</c:v>
              </c:pt>
            </c:numLit>
          </c:val>
          <c:extLst>
            <c:ext xmlns:c16="http://schemas.microsoft.com/office/drawing/2014/chart" uri="{C3380CC4-5D6E-409C-BE32-E72D297353CC}">
              <c16:uniqueId val="{00000000-3334-4014-8A46-C4CC3834E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21485008"/>
        <c:axId val="521481168"/>
        <c:axId val="0"/>
      </c:bar3DChart>
      <c:catAx>
        <c:axId val="521485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481168"/>
        <c:crosses val="autoZero"/>
        <c:auto val="1"/>
        <c:lblAlgn val="ctr"/>
        <c:lblOffset val="100"/>
        <c:noMultiLvlLbl val="0"/>
      </c:catAx>
      <c:valAx>
        <c:axId val="521481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48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MARKETING!$B$3</c:f>
              <c:strCache>
                <c:ptCount val="1"/>
                <c:pt idx="0">
                  <c:v>Leads generated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strRef>
              <c:f>MARKETING!$A$4:$A$18</c:f>
              <c:strCache>
                <c:ptCount val="15"/>
                <c:pt idx="0">
                  <c:v>blood donation</c:v>
                </c:pt>
                <c:pt idx="1">
                  <c:v>IndependenceDay</c:v>
                </c:pt>
                <c:pt idx="2">
                  <c:v>New year</c:v>
                </c:pt>
                <c:pt idx="3">
                  <c:v>blood donation</c:v>
                </c:pt>
                <c:pt idx="4">
                  <c:v>women's day</c:v>
                </c:pt>
                <c:pt idx="5">
                  <c:v>New year</c:v>
                </c:pt>
                <c:pt idx="6">
                  <c:v>tree plantation</c:v>
                </c:pt>
                <c:pt idx="7">
                  <c:v>New year</c:v>
                </c:pt>
                <c:pt idx="8">
                  <c:v>RepublicDay</c:v>
                </c:pt>
                <c:pt idx="9">
                  <c:v>School</c:v>
                </c:pt>
                <c:pt idx="10">
                  <c:v>IndependenceDay</c:v>
                </c:pt>
                <c:pt idx="11">
                  <c:v>blood donation</c:v>
                </c:pt>
                <c:pt idx="12">
                  <c:v>teachers day</c:v>
                </c:pt>
                <c:pt idx="13">
                  <c:v>women's day</c:v>
                </c:pt>
                <c:pt idx="14">
                  <c:v>Children</c:v>
                </c:pt>
              </c:strCache>
            </c:strRef>
          </c:xVal>
          <c:yVal>
            <c:numRef>
              <c:f>MARKETING!$B$4:$B$18</c:f>
              <c:numCache>
                <c:formatCode>General</c:formatCode>
                <c:ptCount val="15"/>
                <c:pt idx="0">
                  <c:v>420</c:v>
                </c:pt>
                <c:pt idx="1">
                  <c:v>350</c:v>
                </c:pt>
                <c:pt idx="2">
                  <c:v>360</c:v>
                </c:pt>
                <c:pt idx="3">
                  <c:v>960</c:v>
                </c:pt>
                <c:pt idx="4">
                  <c:v>560</c:v>
                </c:pt>
                <c:pt idx="5">
                  <c:v>110</c:v>
                </c:pt>
                <c:pt idx="6">
                  <c:v>250</c:v>
                </c:pt>
                <c:pt idx="7">
                  <c:v>130</c:v>
                </c:pt>
                <c:pt idx="8">
                  <c:v>270</c:v>
                </c:pt>
                <c:pt idx="9">
                  <c:v>290</c:v>
                </c:pt>
                <c:pt idx="10">
                  <c:v>330</c:v>
                </c:pt>
                <c:pt idx="11">
                  <c:v>140</c:v>
                </c:pt>
                <c:pt idx="12">
                  <c:v>160</c:v>
                </c:pt>
                <c:pt idx="13">
                  <c:v>720</c:v>
                </c:pt>
                <c:pt idx="14">
                  <c:v>440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10-4858-AE28-0BA2A6CB76A2}"/>
            </c:ext>
          </c:extLst>
        </c:ser>
        <c:ser>
          <c:idx val="1"/>
          <c:order val="1"/>
          <c:tx>
            <c:strRef>
              <c:f>MARKETING!$C$3</c:f>
              <c:strCache>
                <c:ptCount val="1"/>
                <c:pt idx="0">
                  <c:v>Cost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strRef>
              <c:f>MARKETING!$A$4:$A$18</c:f>
              <c:strCache>
                <c:ptCount val="15"/>
                <c:pt idx="0">
                  <c:v>blood donation</c:v>
                </c:pt>
                <c:pt idx="1">
                  <c:v>IndependenceDay</c:v>
                </c:pt>
                <c:pt idx="2">
                  <c:v>New year</c:v>
                </c:pt>
                <c:pt idx="3">
                  <c:v>blood donation</c:v>
                </c:pt>
                <c:pt idx="4">
                  <c:v>women's day</c:v>
                </c:pt>
                <c:pt idx="5">
                  <c:v>New year</c:v>
                </c:pt>
                <c:pt idx="6">
                  <c:v>tree plantation</c:v>
                </c:pt>
                <c:pt idx="7">
                  <c:v>New year</c:v>
                </c:pt>
                <c:pt idx="8">
                  <c:v>RepublicDay</c:v>
                </c:pt>
                <c:pt idx="9">
                  <c:v>School</c:v>
                </c:pt>
                <c:pt idx="10">
                  <c:v>IndependenceDay</c:v>
                </c:pt>
                <c:pt idx="11">
                  <c:v>blood donation</c:v>
                </c:pt>
                <c:pt idx="12">
                  <c:v>teachers day</c:v>
                </c:pt>
                <c:pt idx="13">
                  <c:v>women's day</c:v>
                </c:pt>
                <c:pt idx="14">
                  <c:v>Children</c:v>
                </c:pt>
              </c:strCache>
            </c:strRef>
          </c:xVal>
          <c:yVal>
            <c:numRef>
              <c:f>MARKETING!$C$4:$C$18</c:f>
              <c:numCache>
                <c:formatCode>General</c:formatCode>
                <c:ptCount val="15"/>
                <c:pt idx="0">
                  <c:v>44000</c:v>
                </c:pt>
                <c:pt idx="1">
                  <c:v>63000</c:v>
                </c:pt>
                <c:pt idx="2">
                  <c:v>32000</c:v>
                </c:pt>
                <c:pt idx="3">
                  <c:v>16000</c:v>
                </c:pt>
                <c:pt idx="4">
                  <c:v>26000</c:v>
                </c:pt>
                <c:pt idx="5">
                  <c:v>36000</c:v>
                </c:pt>
                <c:pt idx="6">
                  <c:v>11000</c:v>
                </c:pt>
                <c:pt idx="7">
                  <c:v>44000</c:v>
                </c:pt>
                <c:pt idx="8">
                  <c:v>15000</c:v>
                </c:pt>
                <c:pt idx="9">
                  <c:v>26000</c:v>
                </c:pt>
                <c:pt idx="10">
                  <c:v>25000</c:v>
                </c:pt>
                <c:pt idx="11">
                  <c:v>69000</c:v>
                </c:pt>
                <c:pt idx="12">
                  <c:v>29000</c:v>
                </c:pt>
                <c:pt idx="13">
                  <c:v>66000</c:v>
                </c:pt>
                <c:pt idx="14">
                  <c:v>78000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10-4858-AE28-0BA2A6CB7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513856"/>
        <c:axId val="145536128"/>
      </c:scatterChart>
      <c:valAx>
        <c:axId val="1455138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36128"/>
        <c:crosses val="autoZero"/>
        <c:crossBetween val="midCat"/>
      </c:valAx>
      <c:valAx>
        <c:axId val="145536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13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009951881014874"/>
          <c:y val="5.1400554097404488E-2"/>
          <c:w val="0.59630314960629893"/>
          <c:h val="0.79822506561679785"/>
        </c:manualLayout>
      </c:layout>
      <c:lineChart>
        <c:grouping val="standard"/>
        <c:varyColors val="0"/>
        <c:ser>
          <c:idx val="0"/>
          <c:order val="0"/>
          <c:tx>
            <c:strRef>
              <c:f>FINANCE!$A$3</c:f>
              <c:strCache>
                <c:ptCount val="1"/>
                <c:pt idx="0">
                  <c:v>Revenue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FINANCE!$A$3:$A$18</c:f>
              <c:numCache>
                <c:formatCode>General</c:formatCode>
                <c:ptCount val="16"/>
                <c:pt idx="0">
                  <c:v>0</c:v>
                </c:pt>
                <c:pt idx="1">
                  <c:v>4000000</c:v>
                </c:pt>
                <c:pt idx="2">
                  <c:v>3600000</c:v>
                </c:pt>
                <c:pt idx="3">
                  <c:v>4100000</c:v>
                </c:pt>
                <c:pt idx="4">
                  <c:v>4400000</c:v>
                </c:pt>
                <c:pt idx="5">
                  <c:v>6900000</c:v>
                </c:pt>
                <c:pt idx="6">
                  <c:v>2300000</c:v>
                </c:pt>
                <c:pt idx="7">
                  <c:v>5800000</c:v>
                </c:pt>
                <c:pt idx="8">
                  <c:v>9200000</c:v>
                </c:pt>
                <c:pt idx="9">
                  <c:v>6300000</c:v>
                </c:pt>
                <c:pt idx="10">
                  <c:v>1200000</c:v>
                </c:pt>
                <c:pt idx="11">
                  <c:v>2600000</c:v>
                </c:pt>
                <c:pt idx="12">
                  <c:v>5600000</c:v>
                </c:pt>
                <c:pt idx="13">
                  <c:v>7600000</c:v>
                </c:pt>
                <c:pt idx="14">
                  <c:v>1200000</c:v>
                </c:pt>
                <c:pt idx="15">
                  <c:v>8900000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01-48FD-9647-A924BDDF344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45638912"/>
        <c:axId val="145640448"/>
      </c:lineChart>
      <c:catAx>
        <c:axId val="145638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40448"/>
        <c:crosses val="autoZero"/>
        <c:auto val="1"/>
        <c:lblAlgn val="ctr"/>
        <c:lblOffset val="100"/>
        <c:noMultiLvlLbl val="0"/>
      </c:catAx>
      <c:valAx>
        <c:axId val="1456404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563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2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1173480</xdr:colOff>
      <xdr:row>21</xdr:row>
      <xdr:rowOff>140970</xdr:rowOff>
    </xdr:from>
    <xdr:to>
      <xdr:col>8</xdr:col>
      <xdr:colOff>906780</xdr:colOff>
      <xdr:row>36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82B0E9-92DB-A957-4467-3AC683756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19</xdr:row>
      <xdr:rowOff>0</xdr:rowOff>
    </xdr:from>
    <xdr:to>
      <xdr:col>9</xdr:col>
      <xdr:colOff>323850</xdr:colOff>
      <xdr:row>32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18</xdr:row>
      <xdr:rowOff>45720</xdr:rowOff>
    </xdr:from>
    <xdr:to>
      <xdr:col>6</xdr:col>
      <xdr:colOff>1466850</xdr:colOff>
      <xdr:row>33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7.796546296297" createdVersion="3" refreshedVersion="3" minRefreshableVersion="3" recordCount="15" xr:uid="{00000000-000A-0000-FFFF-FFFF01000000}">
  <cacheSource type="worksheet">
    <worksheetSource ref="A3:E18" sheet="HR"/>
  </cacheSource>
  <cacheFields count="5">
    <cacheField name="Employee" numFmtId="0">
      <sharedItems containsSemiMixedTypes="0" containsString="0" containsNumber="1" containsInteger="1" minValue="101" maxValue="115"/>
    </cacheField>
    <cacheField name="Department" numFmtId="0">
      <sharedItems count="5">
        <s v="Sales"/>
        <s v="Marketing"/>
        <s v="Finance"/>
        <s v="HR"/>
        <s v="IT"/>
      </sharedItems>
    </cacheField>
    <cacheField name="Salary" numFmtId="0">
      <sharedItems containsSemiMixedTypes="0" containsString="0" containsNumber="1" containsInteger="1" minValue="45000" maxValue="70000"/>
    </cacheField>
    <cacheField name="Experience" numFmtId="0">
      <sharedItems containsSemiMixedTypes="0" containsString="0" containsNumber="1" containsInteger="1" minValue="2" maxValue="6"/>
    </cacheField>
    <cacheField name="Attrition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9.821207523149" createdVersion="8" refreshedVersion="8" minRefreshableVersion="3" recordCount="15" xr:uid="{56FC35AC-0A3A-4D83-A8F2-8BA6E66F3C53}">
  <cacheSource type="worksheet">
    <worksheetSource name="Table1"/>
  </cacheSource>
  <cacheFields count="5">
    <cacheField name="Date" numFmtId="14">
      <sharedItems containsSemiMixedTypes="0" containsNonDate="0" containsDate="1" containsString="0" minDate="2024-05-01T00:00:00" maxDate="2024-05-16T00:00:00"/>
    </cacheField>
    <cacheField name="Product" numFmtId="0">
      <sharedItems/>
    </cacheField>
    <cacheField name="Region" numFmtId="0">
      <sharedItems count="4">
        <s v="North"/>
        <s v="East"/>
        <s v="South"/>
        <s v="West"/>
      </sharedItems>
    </cacheField>
    <cacheField name="Sales Amount" numFmtId="0">
      <sharedItems containsSemiMixedTypes="0" containsString="0" containsNumber="1" containsInteger="1" minValue="369000" maxValue="18865300"/>
    </cacheField>
    <cacheField name="Profit" numFmtId="0">
      <sharedItems containsSemiMixedTypes="0" containsString="0" containsNumber="1" containsInteger="1" minValue="540000" maxValue="653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73.72342534722" createdVersion="8" refreshedVersion="8" minRefreshableVersion="3" recordCount="16" xr:uid="{FC80F3E9-FCEC-427D-B7F7-CD441E1970D8}">
  <cacheSource type="worksheet">
    <worksheetSource ref="A3:E19" sheet="INSURANCE"/>
  </cacheSource>
  <cacheFields count="5">
    <cacheField name="Policy Number" numFmtId="0">
      <sharedItems/>
    </cacheField>
    <cacheField name="Customer Age" numFmtId="0">
      <sharedItems containsSemiMixedTypes="0" containsString="0" containsNumber="1" containsInteger="1" minValue="13" maxValue="73"/>
    </cacheField>
    <cacheField name="Premium" numFmtId="0">
      <sharedItems containsSemiMixedTypes="0" containsString="0" containsNumber="1" containsInteger="1" minValue="3220" maxValue="75000"/>
    </cacheField>
    <cacheField name="Claim Amount" numFmtId="0">
      <sharedItems containsSemiMixedTypes="0" containsString="0" containsNumber="1" containsInteger="1" minValue="130" maxValue="21500"/>
    </cacheField>
    <cacheField name="Policy Type" numFmtId="0">
      <sharedItems count="5">
        <s v="Life"/>
        <s v="Health"/>
        <s v="Home"/>
        <s v="education"/>
        <s v="Vehic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01"/>
    <x v="0"/>
    <n v="45000"/>
    <n v="3"/>
    <x v="0"/>
  </r>
  <r>
    <n v="102"/>
    <x v="1"/>
    <n v="52000"/>
    <n v="5"/>
    <x v="1"/>
  </r>
  <r>
    <n v="103"/>
    <x v="2"/>
    <n v="60000"/>
    <n v="4"/>
    <x v="0"/>
  </r>
  <r>
    <n v="104"/>
    <x v="3"/>
    <n v="48000"/>
    <n v="6"/>
    <x v="0"/>
  </r>
  <r>
    <n v="105"/>
    <x v="4"/>
    <n v="70000"/>
    <n v="2"/>
    <x v="1"/>
  </r>
  <r>
    <n v="106"/>
    <x v="0"/>
    <n v="45000"/>
    <n v="3"/>
    <x v="0"/>
  </r>
  <r>
    <n v="107"/>
    <x v="1"/>
    <n v="52000"/>
    <n v="5"/>
    <x v="1"/>
  </r>
  <r>
    <n v="108"/>
    <x v="2"/>
    <n v="60000"/>
    <n v="4"/>
    <x v="0"/>
  </r>
  <r>
    <n v="109"/>
    <x v="3"/>
    <n v="48000"/>
    <n v="6"/>
    <x v="0"/>
  </r>
  <r>
    <n v="110"/>
    <x v="4"/>
    <n v="70000"/>
    <n v="2"/>
    <x v="1"/>
  </r>
  <r>
    <n v="111"/>
    <x v="0"/>
    <n v="45000"/>
    <n v="3"/>
    <x v="0"/>
  </r>
  <r>
    <n v="112"/>
    <x v="1"/>
    <n v="52000"/>
    <n v="5"/>
    <x v="1"/>
  </r>
  <r>
    <n v="113"/>
    <x v="2"/>
    <n v="60000"/>
    <n v="4"/>
    <x v="0"/>
  </r>
  <r>
    <n v="114"/>
    <x v="3"/>
    <n v="48000"/>
    <n v="6"/>
    <x v="0"/>
  </r>
  <r>
    <n v="115"/>
    <x v="4"/>
    <n v="70000"/>
    <n v="2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d v="2024-05-01T00:00:00"/>
    <s v="Laptop"/>
    <x v="0"/>
    <n v="3600000"/>
    <n v="6536000"/>
  </r>
  <r>
    <d v="2024-05-02T00:00:00"/>
    <s v="camera"/>
    <x v="1"/>
    <n v="1500000"/>
    <n v="680000"/>
  </r>
  <r>
    <d v="2024-05-03T00:00:00"/>
    <s v="television"/>
    <x v="2"/>
    <n v="2100000"/>
    <n v="942000"/>
  </r>
  <r>
    <d v="2024-05-04T00:00:00"/>
    <s v="camera"/>
    <x v="0"/>
    <n v="4500000"/>
    <n v="900000"/>
  </r>
  <r>
    <d v="2024-05-05T00:00:00"/>
    <s v="Laptop"/>
    <x v="3"/>
    <n v="3700000"/>
    <n v="690000"/>
  </r>
  <r>
    <d v="2024-05-06T00:00:00"/>
    <s v="Smartphone"/>
    <x v="1"/>
    <n v="6602500"/>
    <n v="1080000"/>
  </r>
  <r>
    <d v="2024-05-07T00:00:00"/>
    <s v="television"/>
    <x v="2"/>
    <n v="7600000"/>
    <n v="1520000"/>
  </r>
  <r>
    <d v="2024-05-08T00:00:00"/>
    <s v="camera"/>
    <x v="3"/>
    <n v="6500000"/>
    <n v="3655000"/>
  </r>
  <r>
    <d v="2024-05-09T00:00:00"/>
    <s v="Smartphone"/>
    <x v="1"/>
    <n v="369000"/>
    <n v="1740000"/>
  </r>
  <r>
    <d v="2024-05-10T00:00:00"/>
    <s v="camera"/>
    <x v="0"/>
    <n v="5700000"/>
    <n v="1140000"/>
  </r>
  <r>
    <d v="2024-05-11T00:00:00"/>
    <s v="television"/>
    <x v="2"/>
    <n v="1100000"/>
    <n v="1230500"/>
  </r>
  <r>
    <d v="2024-05-12T00:00:00"/>
    <s v="Laptop"/>
    <x v="3"/>
    <n v="7430000"/>
    <n v="1260000"/>
  </r>
  <r>
    <d v="2024-05-13T00:00:00"/>
    <s v="television"/>
    <x v="1"/>
    <n v="2700000"/>
    <n v="540000"/>
  </r>
  <r>
    <d v="2024-05-14T00:00:00"/>
    <s v="Smartphone"/>
    <x v="2"/>
    <n v="4625000"/>
    <n v="785000"/>
  </r>
  <r>
    <d v="2024-05-15T00:00:00"/>
    <s v="television"/>
    <x v="0"/>
    <n v="18865300"/>
    <n v="1960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p4001"/>
    <n v="13"/>
    <n v="26000"/>
    <n v="550"/>
    <x v="0"/>
  </r>
  <r>
    <s v="p4002"/>
    <n v="26"/>
    <n v="36000"/>
    <n v="260"/>
    <x v="1"/>
  </r>
  <r>
    <s v="p4003"/>
    <n v="33"/>
    <n v="35600"/>
    <n v="130"/>
    <x v="2"/>
  </r>
  <r>
    <s v="p4004"/>
    <n v="26"/>
    <n v="36000"/>
    <n v="3360"/>
    <x v="3"/>
  </r>
  <r>
    <s v="p4005"/>
    <n v="45"/>
    <n v="66600"/>
    <n v="4500"/>
    <x v="4"/>
  </r>
  <r>
    <s v="p4006"/>
    <n v="59"/>
    <n v="20000"/>
    <n v="250"/>
    <x v="2"/>
  </r>
  <r>
    <s v="p4007"/>
    <n v="73"/>
    <n v="36900"/>
    <n v="3000"/>
    <x v="3"/>
  </r>
  <r>
    <s v="p4008"/>
    <n v="63"/>
    <n v="65000"/>
    <n v="2600"/>
    <x v="0"/>
  </r>
  <r>
    <s v="p4009"/>
    <n v="55"/>
    <n v="48000"/>
    <n v="1300"/>
    <x v="3"/>
  </r>
  <r>
    <s v="p4010"/>
    <n v="47"/>
    <n v="75000"/>
    <n v="5500"/>
    <x v="0"/>
  </r>
  <r>
    <s v="p4011"/>
    <n v="32"/>
    <n v="45500"/>
    <n v="2100"/>
    <x v="4"/>
  </r>
  <r>
    <s v="p4012"/>
    <n v="30"/>
    <n v="3220"/>
    <n v="400"/>
    <x v="2"/>
  </r>
  <r>
    <s v="p4013"/>
    <n v="26"/>
    <n v="69650"/>
    <n v="900"/>
    <x v="3"/>
  </r>
  <r>
    <s v="p4014"/>
    <n v="16"/>
    <n v="11000"/>
    <n v="21500"/>
    <x v="0"/>
  </r>
  <r>
    <s v="p4015"/>
    <n v="18"/>
    <n v="25500"/>
    <n v="1200"/>
    <x v="3"/>
  </r>
  <r>
    <s v="p4016"/>
    <n v="23"/>
    <n v="25600"/>
    <n v="45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1A66FD-4F31-4459-8459-D8F115FF0EF8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5:H10" firstHeaderRow="1" firstDataRow="1" firstDataCol="1"/>
  <pivotFields count="5">
    <pivotField numFmtId="14"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/>
  </dataFields>
  <formats count="6">
    <format dxfId="398">
      <pivotArea type="all" dataOnly="0" outline="0" fieldPosition="0"/>
    </format>
    <format dxfId="397">
      <pivotArea outline="0" collapsedLevelsAreSubtotals="1" fieldPosition="0"/>
    </format>
    <format dxfId="396">
      <pivotArea field="2" type="button" dataOnly="0" labelOnly="1" outline="0" axis="axisRow" fieldPosition="0"/>
    </format>
    <format dxfId="395">
      <pivotArea dataOnly="0" labelOnly="1" fieldPosition="0">
        <references count="1">
          <reference field="2" count="0"/>
        </references>
      </pivotArea>
    </format>
    <format dxfId="394">
      <pivotArea dataOnly="0" labelOnly="1" grandRow="1" outline="0" fieldPosition="0"/>
    </format>
    <format dxfId="39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6DC03B-87AB-4BD5-9F24-A4C34F4253E8}" name="PivotTable3" cacheId="0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chartFormat="1">
  <location ref="G5:G16" firstHeaderRow="1" firstDataRow="1" firstDataCol="1"/>
  <pivotFields count="5"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</pivotFields>
  <rowFields count="2">
    <field x="1"/>
    <field x="4"/>
  </rowFields>
  <rowItems count="11">
    <i>
      <x/>
    </i>
    <i r="1">
      <x v="1"/>
    </i>
    <i>
      <x v="1"/>
    </i>
    <i r="1">
      <x v="1"/>
    </i>
    <i>
      <x v="2"/>
    </i>
    <i r="1">
      <x/>
    </i>
    <i>
      <x v="3"/>
    </i>
    <i r="1">
      <x/>
    </i>
    <i>
      <x v="4"/>
    </i>
    <i r="1">
      <x v="1"/>
    </i>
    <i t="grand">
      <x/>
    </i>
  </rowItems>
  <colItems count="1">
    <i/>
  </colItems>
  <formats count="9">
    <format dxfId="334">
      <pivotArea type="all" dataOnly="0" outline="0" fieldPosition="0"/>
    </format>
    <format dxfId="333">
      <pivotArea field="1" type="button" dataOnly="0" labelOnly="1" outline="0" axis="axisRow" fieldPosition="0"/>
    </format>
    <format dxfId="332">
      <pivotArea dataOnly="0" labelOnly="1" fieldPosition="0">
        <references count="1">
          <reference field="1" count="0"/>
        </references>
      </pivotArea>
    </format>
    <format dxfId="331">
      <pivotArea dataOnly="0" labelOnly="1" grandRow="1" outline="0" fieldPosition="0"/>
    </format>
    <format dxfId="330">
      <pivotArea dataOnly="0" labelOnly="1" fieldPosition="0">
        <references count="2">
          <reference field="1" count="1" selected="0">
            <x v="0"/>
          </reference>
          <reference field="4" count="1">
            <x v="1"/>
          </reference>
        </references>
      </pivotArea>
    </format>
    <format dxfId="329">
      <pivotArea dataOnly="0" labelOnly="1" fieldPosition="0">
        <references count="2">
          <reference field="1" count="1" selected="0">
            <x v="1"/>
          </reference>
          <reference field="4" count="1">
            <x v="1"/>
          </reference>
        </references>
      </pivotArea>
    </format>
    <format dxfId="328">
      <pivotArea dataOnly="0" labelOnly="1" fieldPosition="0">
        <references count="2">
          <reference field="1" count="1" selected="0">
            <x v="2"/>
          </reference>
          <reference field="4" count="1">
            <x v="0"/>
          </reference>
        </references>
      </pivotArea>
    </format>
    <format dxfId="327">
      <pivotArea dataOnly="0" labelOnly="1" fieldPosition="0">
        <references count="2">
          <reference field="1" count="1" selected="0">
            <x v="3"/>
          </reference>
          <reference field="4" count="1">
            <x v="0"/>
          </reference>
        </references>
      </pivotArea>
    </format>
    <format dxfId="326">
      <pivotArea dataOnly="0" labelOnly="1" fieldPosition="0">
        <references count="2">
          <reference field="1" count="1" selected="0">
            <x v="4"/>
          </reference>
          <reference field="4" count="1">
            <x v="1"/>
          </reference>
        </references>
      </pivotArea>
    </format>
  </formats>
  <pivotTableStyleInfo name="PivotStyleMedium10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AFC6B0-0840-4E5B-8D99-BF33C335446A}" name="PivotTable1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6:H12" firstHeaderRow="1" firstDataRow="1" firstDataCol="1"/>
  <pivotFields count="5">
    <pivotField showAll="0"/>
    <pivotField showAll="0"/>
    <pivotField dataField="1" showAll="0"/>
    <pivotField showAll="0"/>
    <pivotField axis="axisRow" showAll="0">
      <items count="6">
        <item x="3"/>
        <item x="1"/>
        <item x="2"/>
        <item x="0"/>
        <item x="4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emium" fld="2" baseField="0" baseItem="0"/>
  </dataFields>
  <formats count="6">
    <format dxfId="325">
      <pivotArea type="all" dataOnly="0" outline="0" fieldPosition="0"/>
    </format>
    <format dxfId="324">
      <pivotArea outline="0" collapsedLevelsAreSubtotals="1" fieldPosition="0"/>
    </format>
    <format dxfId="323">
      <pivotArea field="4" type="button" dataOnly="0" labelOnly="1" outline="0" axis="axisRow" fieldPosition="0"/>
    </format>
    <format dxfId="322">
      <pivotArea dataOnly="0" labelOnly="1" fieldPosition="0">
        <references count="1">
          <reference field="4" count="0"/>
        </references>
      </pivotArea>
    </format>
    <format dxfId="321">
      <pivotArea dataOnly="0" labelOnly="1" grandRow="1" outline="0" fieldPosition="0"/>
    </format>
    <format dxfId="320">
      <pivotArea dataOnly="0" labelOnly="1" outline="0" axis="axisValues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2BC56A-6D19-44BD-B9AB-C7836F1F7949}" name="Table1" displayName="Table1" ref="A3:E18" totalsRowShown="0" headerRowDxfId="392" dataDxfId="390" headerRowBorderDxfId="391" tableBorderDxfId="389" totalsRowBorderDxfId="388">
  <autoFilter ref="A3:E18" xr:uid="{FF2BC56A-6D19-44BD-B9AB-C7836F1F7949}"/>
  <tableColumns count="5">
    <tableColumn id="1" xr3:uid="{90859DD6-5FAA-40CC-B950-DF5862DA86B1}" name="Date" dataDxfId="387"/>
    <tableColumn id="2" xr3:uid="{83A37DA6-D169-435E-97F0-7F3970DFC7DA}" name="Product" dataDxfId="386"/>
    <tableColumn id="3" xr3:uid="{6E3D4CDF-8F52-42DF-AEF4-A59F594A7199}" name="Region" dataDxfId="385"/>
    <tableColumn id="4" xr3:uid="{AD35CC49-91F3-407F-AA50-9BF03BF28F1E}" name="Sales Amount" dataDxfId="384"/>
    <tableColumn id="5" xr3:uid="{199794FA-F2D3-43F8-9E60-C7B9BA835CB3}" name="Profit" dataDxfId="383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E1900F-A881-41CA-988D-43C3D5887DA0}" name="Table2" displayName="Table2" ref="A21:B26" headerRowCount="0" totalsRowShown="0" headerRowDxfId="382" dataDxfId="380" headerRowBorderDxfId="381" tableBorderDxfId="379" totalsRowBorderDxfId="378">
  <tableColumns count="2">
    <tableColumn id="1" xr3:uid="{EEA949AD-E89B-4D4D-B9F6-F5C21D4E0D29}" name="Column1" headerRowDxfId="377" dataDxfId="376"/>
    <tableColumn id="3" xr3:uid="{090766B3-84DA-4FA1-B75E-FE6F02760771}" name="Column3" headerRowDxfId="375" dataDxfId="374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81D518-1CA7-46FA-9116-E9F45AAA6CE1}" name="Table3" displayName="Table3" ref="A28:B31" headerRowCount="0" totalsRowShown="0" headerRowDxfId="373" dataDxfId="371" headerRowBorderDxfId="372" tableBorderDxfId="370" totalsRowBorderDxfId="369">
  <tableColumns count="2">
    <tableColumn id="1" xr3:uid="{C2419E49-3DEA-4025-93D3-7FD0FCBF1E4D}" name="Column1" headerRowDxfId="368" dataDxfId="367"/>
    <tableColumn id="3" xr3:uid="{3046926C-0EF2-4916-83E4-4A709BD7AF90}" name="Column3" headerRowDxfId="366" dataDxfId="365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A1072F-C7A6-4241-B970-E9BB72EB6F8A}" name="Table4" displayName="Table4" ref="A33:B37" headerRowCount="0" totalsRowShown="0" headerRowDxfId="364" dataDxfId="362" headerRowBorderDxfId="363" tableBorderDxfId="361" totalsRowBorderDxfId="360">
  <tableColumns count="2">
    <tableColumn id="1" xr3:uid="{00FF7427-FB95-430D-A504-3F6E3109DF22}" name="Column1" headerRowDxfId="359" dataDxfId="358"/>
    <tableColumn id="3" xr3:uid="{BCA01F0B-3ADF-4225-9D7F-FC365E66BE49}" name="Column3" headerRowDxfId="357" dataDxfId="356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36F4C6-0169-49B9-98C4-88BF8694FA21}" name="Table5" displayName="Table5" ref="A39:B42" headerRowCount="0" totalsRowShown="0" headerRowDxfId="355" dataDxfId="353" headerRowBorderDxfId="354" tableBorderDxfId="352" totalsRowBorderDxfId="351">
  <tableColumns count="2">
    <tableColumn id="1" xr3:uid="{5B470BC0-668E-44A0-AEA7-B2F4E57F7870}" name="Column1" headerRowDxfId="350" dataDxfId="349"/>
    <tableColumn id="3" xr3:uid="{4C77E285-55E6-4F1A-8DC4-8B4886CA683D}" name="Column3" headerRowDxfId="348" dataDxfId="347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2919CF3-29E8-4165-B24F-82B2A25D7720}" name="Table6" displayName="Table6" ref="A44:B46" headerRowCount="0" totalsRowShown="0" headerRowDxfId="346" dataDxfId="344" headerRowBorderDxfId="345" tableBorderDxfId="343" totalsRowBorderDxfId="342">
  <tableColumns count="2">
    <tableColumn id="1" xr3:uid="{50010E68-1B3B-4115-91EE-B58FC39A7FD2}" name="Column1" headerRowDxfId="341" dataDxfId="340"/>
    <tableColumn id="3" xr3:uid="{36624E62-9492-48A5-8D3D-F34CF7EBAAF0}" name="Column3" headerRowDxfId="339" dataDxfId="338"/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7A6CFB3-0623-451F-B420-0E029DE9AAD0}" name="Table8" displayName="Table8" ref="A4:D18" headerRowCount="0" totalsRowShown="0" headerRowDxfId="312" dataDxfId="313" headerRowBorderDxfId="318" tableBorderDxfId="319">
  <tableColumns count="4">
    <tableColumn id="1" xr3:uid="{51A35A03-CDF7-4385-9156-349E35B10EBF}" name="Column1" headerRowDxfId="299" dataDxfId="317"/>
    <tableColumn id="2" xr3:uid="{0324F033-7E7D-461C-B091-D1D1DAEFB960}" name="Column2" headerRowDxfId="300" dataDxfId="316"/>
    <tableColumn id="3" xr3:uid="{F11CE935-B0CE-44E0-A021-9147EB4715D1}" name="Column3" headerRowDxfId="301" dataDxfId="315"/>
    <tableColumn id="4" xr3:uid="{72FF4B2C-27DF-4DFD-B606-AFDCA057B300}" name="Column4" headerRowDxfId="302" dataDxfId="314"/>
  </tableColumns>
  <tableStyleInfo name="TableStyleMedium2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A65B27B-0E70-4C05-B551-3C454BF00882}" name="Table9" displayName="Table9" ref="A21:C25" headerRowCount="0" totalsRowShown="0" headerRowBorderDxfId="310" tableBorderDxfId="311" totalsRowBorderDxfId="309">
  <tableColumns count="3">
    <tableColumn id="1" xr3:uid="{93C9EC34-1FF9-44A8-B1F5-28BE76958083}" name="Column1" headerRowDxfId="303" dataDxfId="308"/>
    <tableColumn id="2" xr3:uid="{E93A3CE4-455C-44FD-87DB-B20F8063FC57}" name="Column2" headerRowDxfId="304" dataDxfId="307"/>
    <tableColumn id="3" xr3:uid="{AAEBC6D5-603A-48B9-B4BF-C12801167D98}" name="Column3" headerRowDxfId="305" dataDxfId="306"/>
  </tableColumns>
  <tableStyleInfo name="TableStyleMedium2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6FF41AA-7E90-4941-BA2B-4EBF1CF2ADF5}" name="Table14" displayName="Table14" ref="A27:C30" headerRowCount="0" totalsRowShown="0" headerRowDxfId="292" headerRowBorderDxfId="297" tableBorderDxfId="298" totalsRowBorderDxfId="296">
  <tableColumns count="3">
    <tableColumn id="1" xr3:uid="{4F9C0856-9A04-4DAA-8BB6-A11F329CE6C6}" name="Column1" headerRowDxfId="289" dataDxfId="295"/>
    <tableColumn id="2" xr3:uid="{4E15BF05-1A7D-4364-8D94-D3D56FA6D37D}" name="Column2" headerRowDxfId="290" dataDxfId="294"/>
    <tableColumn id="3" xr3:uid="{633177AA-B79C-44F4-B5F2-15B9A639DB9D}" name="Column3" headerRowDxfId="291" dataDxfId="293"/>
  </tableColumns>
  <tableStyleInfo name="TableStyleMedium2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334299D-566A-40A7-8EC6-966D22571559}" name="Table15" displayName="Table15" ref="A32:C36" headerRowCount="0" totalsRowShown="0" headerRowDxfId="282" headerRowBorderDxfId="287" tableBorderDxfId="288" totalsRowBorderDxfId="286">
  <tableColumns count="3">
    <tableColumn id="1" xr3:uid="{89CC259C-DECD-4116-99CC-4B10C6809460}" name="Column1" headerRowDxfId="279" dataDxfId="285"/>
    <tableColumn id="2" xr3:uid="{6EA02CEC-30D6-41A0-B772-AD949299A7E3}" name="Column2" headerRowDxfId="280" dataDxfId="284"/>
    <tableColumn id="3" xr3:uid="{80514530-85D9-41D3-8704-044B6CE89329}" name="Column3" headerRowDxfId="281" dataDxfId="283"/>
  </tableColumns>
  <tableStyleInfo name="TableStyleMedium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D4850BE-2EA5-4C1A-ADAB-BCFB5FF31BAB}" name="Table16" displayName="Table16" ref="A38:C41" headerRowCount="0" totalsRowShown="0" headerRowDxfId="273" headerRowBorderDxfId="277" tableBorderDxfId="278" totalsRowBorderDxfId="276">
  <tableColumns count="3">
    <tableColumn id="1" xr3:uid="{B0E0E861-5E16-44F0-8CA5-CA4547961BAF}" name="Column1" headerRowDxfId="270" dataDxfId="275"/>
    <tableColumn id="2" xr3:uid="{9C79B0AD-1C69-4FF0-8347-884E40FB620A}" name="Column2" headerRowDxfId="271" dataDxfId="274"/>
    <tableColumn id="3" xr3:uid="{0C7FF137-9AED-4D0F-9B43-DE4EAA3B28F3}" name="Column3" headerRowDxfId="272"/>
  </tableColumns>
  <tableStyleInfo name="TableStyleMedium1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BAB021D-562F-4B9C-861E-99D6203C6417}" name="Table17" displayName="Table17" ref="A43:C45" headerRowCount="0" totalsRowShown="0" headerRowDxfId="266" headerRowBorderDxfId="268" tableBorderDxfId="269" totalsRowBorderDxfId="267">
  <tableColumns count="3">
    <tableColumn id="1" xr3:uid="{AD5CB380-BA8E-4B1B-8B4A-B5B3DE9104EB}" name="Column1" headerRowDxfId="263"/>
    <tableColumn id="2" xr3:uid="{166048FA-99C7-42C5-9AE1-3F22CFEDBCEA}" name="Column2" headerRowDxfId="264"/>
    <tableColumn id="3" xr3:uid="{15C2055A-C88A-41A8-97A1-6C7096659DF7}" name="Column3" headerRowDxfId="265"/>
  </tableColumns>
  <tableStyleInfo name="TableStyleMedium1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3E6B9AC-93BA-4719-A91E-1F55C5EBF343}" name="Table18" displayName="Table18" ref="A47:C50" headerRowCount="0" totalsRowShown="0" headerRowDxfId="256" headerRowBorderDxfId="261" tableBorderDxfId="262" totalsRowBorderDxfId="260">
  <tableColumns count="3">
    <tableColumn id="1" xr3:uid="{4399A3A2-5E79-4952-9678-2C9973EB1894}" name="Column1" headerRowDxfId="253" dataDxfId="259"/>
    <tableColumn id="2" xr3:uid="{387A330E-CE06-4BFE-918B-91FED668E2D7}" name="Column2" headerRowDxfId="254" dataDxfId="258"/>
    <tableColumn id="3" xr3:uid="{70DEA250-7112-47F4-A9CB-473778BE2BA8}" name="Column3" headerRowDxfId="255" dataDxfId="257"/>
  </tableColumns>
  <tableStyleInfo name="TableStyleMedium10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3F38BD8-C229-4490-A6C4-433A42B04302}" name="Table19" displayName="Table19" ref="A52:C57" headerRowCount="0" totalsRowShown="0" headerRowDxfId="246" headerRowBorderDxfId="251" tableBorderDxfId="252" totalsRowBorderDxfId="250">
  <tableColumns count="3">
    <tableColumn id="1" xr3:uid="{D647AED6-53EA-4458-AED1-3906C45AF5CC}" name="Column1" headerRowDxfId="243" dataDxfId="249"/>
    <tableColumn id="2" xr3:uid="{9A84EE57-F84A-4D70-928D-006A3B0FA4C6}" name="Column2" headerRowDxfId="244" dataDxfId="248"/>
    <tableColumn id="3" xr3:uid="{AE376C70-CBF6-43CC-9DD7-8B28D95283E1}" name="Column3" headerRowDxfId="245" dataDxfId="247"/>
  </tableColumns>
  <tableStyleInfo name="TableStyleMedium10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6A8F191-A57D-4994-80EC-5E4A7B5F4A99}" name="Table11" displayName="Table11" ref="F5:F6" totalsRowShown="0" headerRowDxfId="337" dataDxfId="336">
  <autoFilter ref="F5:F6" xr:uid="{16A8F191-A57D-4994-80EC-5E4A7B5F4A99}"/>
  <tableColumns count="1">
    <tableColumn id="1" xr3:uid="{4E6568CD-EF34-4663-AD08-D25EE546790C}" name="sum of expenses" dataDxfId="335">
      <calculatedColumnFormula>SUM(B4:B18)</calculatedColumnFormula>
    </tableColumn>
  </tableColumns>
  <tableStyleInfo name="TableStyleMedium10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6FDD7AF-3A29-467E-AE49-75B94C54C983}" name="Table21" displayName="Table21" ref="A4:D18" headerRowCount="0" totalsRowShown="0" headerRowDxfId="235" dataDxfId="236" headerRowBorderDxfId="241" tableBorderDxfId="242">
  <tableColumns count="4">
    <tableColumn id="1" xr3:uid="{EDEE7500-F4C5-406C-92C4-E9E281CA35A9}" name="Column1" headerRowDxfId="231" dataDxfId="240"/>
    <tableColumn id="2" xr3:uid="{C62F44BD-EE1B-41E1-8CF5-82358D7820BD}" name="Column2" headerRowDxfId="232" dataDxfId="239"/>
    <tableColumn id="3" xr3:uid="{8DFA3F6B-F547-4963-9F7F-2EAD8337EC1E}" name="Column3" headerRowDxfId="233" dataDxfId="238"/>
    <tableColumn id="4" xr3:uid="{8C81A004-1E10-49D2-AE48-F33663AEF8A4}" name="Column4" headerRowDxfId="234" dataDxfId="237"/>
  </tableColumns>
  <tableStyleInfo name="TableStyleMedium10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1BA0119-44BF-404E-8F6E-001E3E25117D}" name="Table22" displayName="Table22" ref="A21:C25" headerRowCount="0" totalsRowShown="0" headerRowDxfId="224" headerRowBorderDxfId="229" tableBorderDxfId="230" totalsRowBorderDxfId="228">
  <tableColumns count="3">
    <tableColumn id="1" xr3:uid="{7F17A0B3-4B02-4073-84E4-ED0A539E516E}" name="Column1" headerRowDxfId="221" dataDxfId="227"/>
    <tableColumn id="2" xr3:uid="{E2B7C7E2-F232-47E7-8667-731368AF07DF}" name="Column2" headerRowDxfId="222" dataDxfId="226"/>
    <tableColumn id="3" xr3:uid="{1C5F48B2-F696-482A-ABCF-8A477548D606}" name="Column3" headerRowDxfId="223" dataDxfId="225"/>
  </tableColumns>
  <tableStyleInfo name="TableStyleMedium10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68DF3C5-EF21-41ED-A00C-0D6DE0EF4F52}" name="Table23" displayName="Table23" ref="A28:C30" headerRowCount="0" totalsRowShown="0" headerRowDxfId="214" headerRowBorderDxfId="219" tableBorderDxfId="220" totalsRowBorderDxfId="218">
  <tableColumns count="3">
    <tableColumn id="1" xr3:uid="{7DF70A97-593B-430E-B52E-0ADAC3D0281D}" name="Column1" headerRowDxfId="211" dataDxfId="217"/>
    <tableColumn id="2" xr3:uid="{16D81A04-002B-4820-8100-FEA07BC9BDEE}" name="Column2" headerRowDxfId="212" dataDxfId="216"/>
    <tableColumn id="3" xr3:uid="{B0CCA66B-4ECB-4B03-A4EE-67B10D762791}" name="Column3" headerRowDxfId="213" dataDxfId="215"/>
  </tableColumns>
  <tableStyleInfo name="TableStyleMedium10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FE2C72C-78E7-4128-8385-F8DFB341F960}" name="Table24" displayName="Table24" ref="A33:C36" headerRowCount="0" totalsRowShown="0" headerRowDxfId="204" headerRowBorderDxfId="209" tableBorderDxfId="210" totalsRowBorderDxfId="208">
  <tableColumns count="3">
    <tableColumn id="1" xr3:uid="{606EDA54-604B-4D72-B556-316FCB00D878}" name="Column1" headerRowDxfId="201" dataDxfId="207"/>
    <tableColumn id="2" xr3:uid="{7A886BB6-B66D-46D0-B614-12783351A361}" name="Column2" headerRowDxfId="202" dataDxfId="206"/>
    <tableColumn id="3" xr3:uid="{47E5A645-F13B-40D0-A08E-B991BCFEB569}" name="Column3" headerRowDxfId="203" dataDxfId="205"/>
  </tableColumns>
  <tableStyleInfo name="TableStyleMedium10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83457F8-E6D0-441F-8E92-685808A233E0}" name="Table25" displayName="Table25" ref="A39:C41" headerRowCount="0" totalsRowShown="0" headerRowBorderDxfId="199" tableBorderDxfId="200" totalsRowBorderDxfId="198">
  <tableColumns count="3">
    <tableColumn id="1" xr3:uid="{5983F8FB-D9D8-4538-9245-F6CCF64270EF}" name="Column1" headerRowDxfId="193" dataDxfId="197"/>
    <tableColumn id="2" xr3:uid="{0BEA23E7-FEF2-42BA-B20E-027FF0543B46}" name="Column2" headerRowDxfId="194" dataDxfId="196"/>
    <tableColumn id="3" xr3:uid="{4C26D78F-45A1-46CA-9C2B-799FEFD726FE}" name="Column3" headerRowDxfId="195"/>
  </tableColumns>
  <tableStyleInfo name="TableStyleMedium10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AEAC6CE-B794-43E2-9C1E-C4AE986FE7D1}" name="Table26" displayName="Table26" ref="A44:C45" headerRowCount="0" totalsRowShown="0" headerRowBorderDxfId="191" tableBorderDxfId="192" totalsRowBorderDxfId="190">
  <tableColumns count="3">
    <tableColumn id="1" xr3:uid="{B4B7711D-AE1F-4683-B69D-8D048C6F698E}" name="Column1" headerRowDxfId="184" dataDxfId="189"/>
    <tableColumn id="2" xr3:uid="{F63EF0BF-8873-49B2-8FD9-E1403EFFAFD3}" name="Column2" headerRowDxfId="185" dataDxfId="188"/>
    <tableColumn id="3" xr3:uid="{C2EF7086-8B67-4FC9-B1A3-2840ABDCD9A9}" name="Column3" headerRowDxfId="186" dataDxfId="187">
      <calculatedColumnFormula>NPV(5%,C3:C17)</calculatedColumnFormula>
    </tableColumn>
  </tableColumns>
  <tableStyleInfo name="TableStyleMedium10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0A79F1B-AA37-47F1-A378-1AD3C6D9C631}" name="Table27" displayName="Table27" ref="A48:C50" headerRowCount="0" totalsRowShown="0" headerRowDxfId="177" headerRowBorderDxfId="182" tableBorderDxfId="183" totalsRowBorderDxfId="181">
  <tableColumns count="3">
    <tableColumn id="1" xr3:uid="{3ADE9B70-EBD9-4238-9AE6-D5679F2162B9}" name="Column1" headerRowDxfId="174" dataDxfId="180"/>
    <tableColumn id="2" xr3:uid="{7E933635-90AD-45E2-BD57-8EE156E95062}" name="Column2" headerRowDxfId="175" dataDxfId="179"/>
    <tableColumn id="3" xr3:uid="{2D0CE06F-AB05-4E9C-8FAD-A51D2D9D5FEC}" name="Column3" headerRowDxfId="176" dataDxfId="178"/>
  </tableColumns>
  <tableStyleInfo name="TableStyleMedium10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A08EA0A-DD6F-4A7A-A82D-EB027A3EFD54}" name="Table28" displayName="Table28" ref="A53:C57" headerRowCount="0" totalsRowShown="0" headerRowDxfId="167" headerRowBorderDxfId="172" tableBorderDxfId="173" totalsRowBorderDxfId="171">
  <tableColumns count="3">
    <tableColumn id="1" xr3:uid="{DA203CBE-D24C-477F-A337-CB478201059A}" name="Column1" headerRowDxfId="164" dataDxfId="170"/>
    <tableColumn id="2" xr3:uid="{AC4BB341-462F-4DE2-9A7F-F796B8A66517}" name="Column2" headerRowDxfId="165" dataDxfId="169"/>
    <tableColumn id="3" xr3:uid="{F961ED9A-9B5A-4210-8BDE-F12A11DDB13C}" name="Column3" headerRowDxfId="166" dataDxfId="168"/>
  </tableColumns>
  <tableStyleInfo name="TableStyleMedium10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4BD66EC7-1522-4737-B9C0-F6FF6EC7961A}" name="Table37" displayName="Table37" ref="A4:E18" headerRowCount="0" totalsRowShown="0" headerRowDxfId="72" dataDxfId="73" headerRowBorderDxfId="80" tableBorderDxfId="81" totalsRowBorderDxfId="79">
  <tableColumns count="5">
    <tableColumn id="1" xr3:uid="{BFFAA589-8901-4D14-81C6-05397CEA9F81}" name="Column1" headerRowDxfId="67" dataDxfId="78"/>
    <tableColumn id="2" xr3:uid="{9AD6FF2B-16A4-460D-8A30-DE2BD77B177D}" name="Column2" headerRowDxfId="68" dataDxfId="77"/>
    <tableColumn id="3" xr3:uid="{14EDF863-F8DF-473E-8FBF-4035E251ACD0}" name="Column3" headerRowDxfId="69" dataDxfId="76"/>
    <tableColumn id="4" xr3:uid="{904C612D-3259-4DF6-977C-269F22033ED8}" name="Column4" headerRowDxfId="70" dataDxfId="75"/>
    <tableColumn id="5" xr3:uid="{067D298D-0927-4BB8-AA45-242A7F217556}" name="Column5" headerRowDxfId="71" dataDxfId="74"/>
  </tableColumns>
  <tableStyleInfo name="TableStyleMedium10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5D8EF2BF-E974-4C86-BE3B-AD344A805AC9}" name="Table38" displayName="Table38" ref="A21:C25" headerRowCount="0" totalsRowShown="0" headerRowDxfId="60" headerRowBorderDxfId="65" tableBorderDxfId="66" totalsRowBorderDxfId="64">
  <tableColumns count="3">
    <tableColumn id="1" xr3:uid="{33963EB1-5A18-4FF0-BA06-4BB0F0D94D7B}" name="Column1" headerRowDxfId="57" dataDxfId="63"/>
    <tableColumn id="2" xr3:uid="{34DAF891-1396-4596-9906-759EAE071E25}" name="Column2" headerRowDxfId="58" dataDxfId="62"/>
    <tableColumn id="3" xr3:uid="{68976852-907C-47D7-8CFC-C617D352CA38}" name="Column3" headerRowDxfId="59" dataDxfId="61"/>
  </tableColumns>
  <tableStyleInfo name="TableStyleMedium10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6D8FA926-7EE3-4C3C-9D57-00077D7FD9EF}" name="Table39" displayName="Table39" ref="A28:C30" headerRowCount="0" totalsRowShown="0" headerRowDxfId="50" headerRowBorderDxfId="55" tableBorderDxfId="56" totalsRowBorderDxfId="54">
  <tableColumns count="3">
    <tableColumn id="1" xr3:uid="{B56BA561-FA81-457C-9BE2-F9D5509D3123}" name="Column1" headerRowDxfId="47" dataDxfId="53"/>
    <tableColumn id="2" xr3:uid="{CC94C4DA-A668-4405-8E9A-C8ABD627220A}" name="Column2" headerRowDxfId="48" dataDxfId="52"/>
    <tableColumn id="3" xr3:uid="{B5D0A49A-A2E6-47AB-9903-F61A989803EA}" name="Column3" headerRowDxfId="49" dataDxfId="51"/>
  </tableColumns>
  <tableStyleInfo name="TableStyleMedium10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8F9EB95D-48D8-4064-B559-C464DBEDD197}" name="Table40" displayName="Table40" ref="A33:C36" headerRowCount="0" totalsRowShown="0" headerRowDxfId="40" headerRowBorderDxfId="45" tableBorderDxfId="46" totalsRowBorderDxfId="44">
  <tableColumns count="3">
    <tableColumn id="1" xr3:uid="{A93D02F5-5189-40BB-93D3-BCC8F4AEAF8A}" name="Column1" headerRowDxfId="37" dataDxfId="43"/>
    <tableColumn id="2" xr3:uid="{23AA0EA9-0916-4FEE-B737-0FF34E3001F4}" name="Column2" headerRowDxfId="38" dataDxfId="42"/>
    <tableColumn id="3" xr3:uid="{BE84F0A2-8097-430C-981B-E9EB5F0E1FE5}" name="Column3" headerRowDxfId="39" dataDxfId="41"/>
  </tableColumns>
  <tableStyleInfo name="TableStyleMedium10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61678E10-CB6C-4EF3-ACCF-1B484C3B3224}" name="Table41" displayName="Table41" ref="A39:C41" headerRowCount="0" totalsRowShown="0" headerRowBorderDxfId="35" tableBorderDxfId="36" totalsRowBorderDxfId="34">
  <tableColumns count="3">
    <tableColumn id="1" xr3:uid="{FF405C3F-4ADC-4007-8F1D-B847AF483A62}" name="Column1" headerRowDxfId="29" dataDxfId="33"/>
    <tableColumn id="2" xr3:uid="{D74D17BF-7769-4A6D-8C38-24AA9A26EBDC}" name="Column2" headerRowDxfId="30" dataDxfId="32"/>
    <tableColumn id="3" xr3:uid="{AEFD8628-213A-42C3-8A78-4E15B7DCA13E}" name="Column3" headerRowDxfId="31"/>
  </tableColumns>
  <tableStyleInfo name="TableStyleMedium10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BA47EF3-F58A-4F4B-A0D0-A9B3E0131B2D}" name="Table42" displayName="Table42" ref="A44:C45" headerRowCount="0" totalsRowShown="0" headerRowBorderDxfId="27" tableBorderDxfId="28" totalsRowBorderDxfId="26">
  <tableColumns count="3">
    <tableColumn id="1" xr3:uid="{1B5D90C3-F825-4955-A38F-8BFAAA7E59AE}" name="Column1" headerRowDxfId="20" dataDxfId="25"/>
    <tableColumn id="2" xr3:uid="{DB72A3E3-24C9-4DB3-B28A-E92AA92F1FFC}" name="Column2" headerRowDxfId="21" dataDxfId="24"/>
    <tableColumn id="3" xr3:uid="{289735AF-5B6E-4E5E-A1C3-153AEC6AD642}" name="Column3" headerRowDxfId="22" dataDxfId="23">
      <calculatedColumnFormula>NPV(5%,C3:C17)</calculatedColumnFormula>
    </tableColumn>
  </tableColumns>
  <tableStyleInfo name="TableStyleMedium10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36B0A7A7-0A42-4B3C-9A8D-B536D01D5583}" name="Table43" displayName="Table43" ref="A48:C50" headerRowCount="0" totalsRowShown="0" headerRowDxfId="13" headerRowBorderDxfId="18" tableBorderDxfId="19" totalsRowBorderDxfId="17">
  <tableColumns count="3">
    <tableColumn id="1" xr3:uid="{7E20EECF-9499-45E1-BD3C-05B0CFF7B1B2}" name="Column1" headerRowDxfId="10" dataDxfId="16"/>
    <tableColumn id="2" xr3:uid="{713D7F92-F18C-48B9-BEFF-F4655238EFAD}" name="Column2" headerRowDxfId="11" dataDxfId="15"/>
    <tableColumn id="3" xr3:uid="{F541E595-6F46-40F9-9F96-17D85E941490}" name="Column3" headerRowDxfId="12" dataDxfId="14"/>
  </tableColumns>
  <tableStyleInfo name="TableStyleMedium10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39928E5F-5DB1-4DF1-9952-F93B82B15109}" name="Table44" displayName="Table44" ref="A53:C57" headerRowCount="0" totalsRowShown="0" headerRowDxfId="3" headerRowBorderDxfId="8" tableBorderDxfId="9" totalsRowBorderDxfId="7">
  <tableColumns count="3">
    <tableColumn id="1" xr3:uid="{B6D56B87-0CDC-4A0E-AAF7-22C32B15056E}" name="Column1" headerRowDxfId="0" dataDxfId="6"/>
    <tableColumn id="2" xr3:uid="{CF80A04C-19BF-4A5C-AA65-7E5C07DEEC24}" name="Column2" headerRowDxfId="1" dataDxfId="5"/>
    <tableColumn id="3" xr3:uid="{F315405E-3C94-456C-A836-729FF84819C6}" name="Column3" headerRowDxfId="2" dataDxfId="4"/>
  </tableColumns>
  <tableStyleInfo name="TableStyleMedium10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EB8D4FA-8F7A-4429-AAE2-76318AAC5ED8}" name="Table29" displayName="Table29" ref="A4:E19" headerRowCount="0" totalsRowShown="0" headerRowDxfId="154" dataDxfId="155" headerRowBorderDxfId="162" tableBorderDxfId="163" totalsRowBorderDxfId="161">
  <tableColumns count="5">
    <tableColumn id="1" xr3:uid="{34B876C1-0B6F-4EE7-A276-2BEAA77DE94B}" name="Column1" headerRowDxfId="149" dataDxfId="160"/>
    <tableColumn id="2" xr3:uid="{DB474D92-6FFE-4A24-A2F4-FC5AFEC71A68}" name="Column2" headerRowDxfId="150" dataDxfId="159"/>
    <tableColumn id="3" xr3:uid="{BC3AA799-5593-4D84-8911-227B4F72F3E6}" name="Column3" headerRowDxfId="151" dataDxfId="158"/>
    <tableColumn id="4" xr3:uid="{2CE72E73-0E23-429E-A05D-39512019E189}" name="Column4" headerRowDxfId="152" dataDxfId="157"/>
    <tableColumn id="5" xr3:uid="{BAA9591F-012A-49B8-A4AA-3949A4960B10}" name="Column5" headerRowDxfId="153" dataDxfId="156"/>
  </tableColumns>
  <tableStyleInfo name="TableStyleMedium10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0778387-49E6-482D-BAF7-93A776B97D04}" name="Table30" displayName="Table30" ref="A22:C26" headerRowCount="0" totalsRowShown="0" headerRowDxfId="142" headerRowBorderDxfId="147" tableBorderDxfId="148" totalsRowBorderDxfId="146">
  <tableColumns count="3">
    <tableColumn id="1" xr3:uid="{A98E85D8-3300-4972-9215-A9D9F2F9C6F8}" name="Column1" headerRowDxfId="139" dataDxfId="145"/>
    <tableColumn id="2" xr3:uid="{43DF61F2-3813-4772-BD03-1FC2757DEAB7}" name="Column2" headerRowDxfId="140" dataDxfId="144"/>
    <tableColumn id="3" xr3:uid="{C23CD85E-8D17-4838-95A8-C2F66D7C2806}" name="Column3" headerRowDxfId="141" dataDxfId="143"/>
  </tableColumns>
  <tableStyleInfo name="TableStyleMedium10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1437EAD4-D206-4119-82E1-5411478CE22E}" name="Table31" displayName="Table31" ref="A29:C31" headerRowCount="0" totalsRowShown="0" headerRowDxfId="132" headerRowBorderDxfId="137" tableBorderDxfId="138" totalsRowBorderDxfId="136">
  <tableColumns count="3">
    <tableColumn id="1" xr3:uid="{C5949726-9FAB-4A3C-BB93-2DBB6A2DBD69}" name="Column1" headerRowDxfId="129" dataDxfId="135"/>
    <tableColumn id="2" xr3:uid="{C5FFDEAC-58A3-445F-BC39-ED87E99222AB}" name="Column2" headerRowDxfId="130" dataDxfId="134"/>
    <tableColumn id="3" xr3:uid="{A2FACBC1-9113-4734-8220-2B34FB30039E}" name="Column3" headerRowDxfId="131" dataDxfId="133"/>
  </tableColumns>
  <tableStyleInfo name="TableStyleMedium10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7485F1-C09F-46BA-A12C-4BA3BB68C856}" name="Table32" displayName="Table32" ref="A34:C37" headerRowCount="0" totalsRowShown="0" headerRowDxfId="122" headerRowBorderDxfId="127" tableBorderDxfId="128" totalsRowBorderDxfId="126">
  <tableColumns count="3">
    <tableColumn id="1" xr3:uid="{2D3E6BA2-D771-416E-88B0-EB15FF23466B}" name="Column1" headerRowDxfId="119" dataDxfId="125"/>
    <tableColumn id="2" xr3:uid="{B14F1276-1448-4963-97EF-C37DDDB2BF0D}" name="Column2" headerRowDxfId="120" dataDxfId="124"/>
    <tableColumn id="3" xr3:uid="{360E1F7C-3A80-4FB6-8CF2-B166F0D1C249}" name="Column3" headerRowDxfId="121" dataDxfId="123"/>
  </tableColumns>
  <tableStyleInfo name="TableStyleMedium10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1E986583-F654-45D7-9B66-D62B068425C8}" name="Table33" displayName="Table33" ref="A40:C42" headerRowCount="0" totalsRowShown="0" headerRowBorderDxfId="117" tableBorderDxfId="118" totalsRowBorderDxfId="116">
  <tableColumns count="3">
    <tableColumn id="1" xr3:uid="{3CE577CA-EAD1-46A0-8C0A-A21E54708792}" name="Column1" headerRowDxfId="111" dataDxfId="115"/>
    <tableColumn id="2" xr3:uid="{8409620A-3DCC-4D14-A3E9-93B6FFCD125C}" name="Column2" headerRowDxfId="112" dataDxfId="114"/>
    <tableColumn id="3" xr3:uid="{EB29A4C2-682E-416C-851D-A11D7F087267}" name="Column3" headerRowDxfId="113"/>
  </tableColumns>
  <tableStyleInfo name="TableStyleMedium10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79EB99AA-2017-475F-A483-C017AE5CA6EA}" name="Table34" displayName="Table34" ref="A45:C46" headerRowCount="0" totalsRowShown="0" headerRowBorderDxfId="109" tableBorderDxfId="110" totalsRowBorderDxfId="108">
  <tableColumns count="3">
    <tableColumn id="1" xr3:uid="{12A6D9D7-D142-48AD-9552-610A2B7FD712}" name="Column1" headerRowDxfId="102" dataDxfId="107"/>
    <tableColumn id="2" xr3:uid="{F960CCB8-E0D4-41D1-8CDB-932BE442F061}" name="Column2" headerRowDxfId="103" dataDxfId="106"/>
    <tableColumn id="3" xr3:uid="{09C1B5D6-C0F8-4A3C-AF77-ADC5001A265E}" name="Column3" headerRowDxfId="104" dataDxfId="105">
      <calculatedColumnFormula>NPV(5%,C3:C17)</calculatedColumnFormula>
    </tableColumn>
  </tableColumns>
  <tableStyleInfo name="TableStyleMedium10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EB199A7-6236-4D68-8122-2AA32D262439}" name="Table35" displayName="Table35" ref="A49:C51" headerRowCount="0" totalsRowShown="0" headerRowDxfId="95" headerRowBorderDxfId="100" tableBorderDxfId="101" totalsRowBorderDxfId="99">
  <tableColumns count="3">
    <tableColumn id="1" xr3:uid="{C8F10D26-612A-4B2E-818D-B940C4B7A16C}" name="Column1" headerRowDxfId="92" dataDxfId="98"/>
    <tableColumn id="2" xr3:uid="{9EF20A5F-CE79-4A5A-AB2B-61C3DE724751}" name="Column2" headerRowDxfId="93" dataDxfId="97"/>
    <tableColumn id="3" xr3:uid="{52DF897A-F8C7-48C1-98D5-85787DA5EBE0}" name="Column3" headerRowDxfId="94" dataDxfId="96"/>
  </tableColumns>
  <tableStyleInfo name="TableStyleMedium10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1E0642B9-1109-4FF4-8F2E-75CA427AC001}" name="Table36" displayName="Table36" ref="A54:C58" headerRowCount="0" totalsRowShown="0" headerRowDxfId="85" headerRowBorderDxfId="90" tableBorderDxfId="91" totalsRowBorderDxfId="89">
  <tableColumns count="3">
    <tableColumn id="1" xr3:uid="{096EA2E3-BAE0-4733-A300-6A4A622E2C97}" name="Column1" headerRowDxfId="82" dataDxfId="88"/>
    <tableColumn id="2" xr3:uid="{8BC80992-8D67-46C4-A01E-3B7586908A5C}" name="Column2" headerRowDxfId="83" dataDxfId="87"/>
    <tableColumn id="3" xr3:uid="{F7CE331D-18C2-4FD5-8351-A688E0DAA33F}" name="Column3" headerRowDxfId="84" dataDxfId="86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drawing" Target="../drawings/drawing1.xml"/><Relationship Id="rId7" Type="http://schemas.openxmlformats.org/officeDocument/2006/relationships/table" Target="../tables/table4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Relationship Id="rId9" Type="http://schemas.openxmlformats.org/officeDocument/2006/relationships/table" Target="../tables/table1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.xml"/><Relationship Id="rId3" Type="http://schemas.openxmlformats.org/officeDocument/2006/relationships/table" Target="../tables/table16.xml"/><Relationship Id="rId7" Type="http://schemas.openxmlformats.org/officeDocument/2006/relationships/table" Target="../tables/table20.xml"/><Relationship Id="rId2" Type="http://schemas.openxmlformats.org/officeDocument/2006/relationships/table" Target="../tables/table15.xml"/><Relationship Id="rId1" Type="http://schemas.openxmlformats.org/officeDocument/2006/relationships/drawing" Target="../drawings/drawing3.xml"/><Relationship Id="rId6" Type="http://schemas.openxmlformats.org/officeDocument/2006/relationships/table" Target="../tables/table19.xml"/><Relationship Id="rId5" Type="http://schemas.openxmlformats.org/officeDocument/2006/relationships/table" Target="../tables/table18.xml"/><Relationship Id="rId10" Type="http://schemas.openxmlformats.org/officeDocument/2006/relationships/table" Target="../tables/table23.xml"/><Relationship Id="rId4" Type="http://schemas.openxmlformats.org/officeDocument/2006/relationships/table" Target="../tables/table17.xml"/><Relationship Id="rId9" Type="http://schemas.openxmlformats.org/officeDocument/2006/relationships/table" Target="../tables/table2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0.xml"/><Relationship Id="rId3" Type="http://schemas.openxmlformats.org/officeDocument/2006/relationships/table" Target="../tables/table25.xml"/><Relationship Id="rId7" Type="http://schemas.openxmlformats.org/officeDocument/2006/relationships/table" Target="../tables/table29.xml"/><Relationship Id="rId2" Type="http://schemas.openxmlformats.org/officeDocument/2006/relationships/table" Target="../tables/table24.xml"/><Relationship Id="rId1" Type="http://schemas.openxmlformats.org/officeDocument/2006/relationships/pivotTable" Target="../pivotTables/pivotTable2.xml"/><Relationship Id="rId6" Type="http://schemas.openxmlformats.org/officeDocument/2006/relationships/table" Target="../tables/table28.xml"/><Relationship Id="rId5" Type="http://schemas.openxmlformats.org/officeDocument/2006/relationships/table" Target="../tables/table27.xml"/><Relationship Id="rId4" Type="http://schemas.openxmlformats.org/officeDocument/2006/relationships/table" Target="../tables/table26.xml"/><Relationship Id="rId9" Type="http://schemas.openxmlformats.org/officeDocument/2006/relationships/table" Target="../tables/table3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8.xml"/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ivotTable" Target="../pivotTables/pivotTable3.xml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Relationship Id="rId9" Type="http://schemas.openxmlformats.org/officeDocument/2006/relationships/table" Target="../tables/table3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topLeftCell="A49" workbookViewId="0">
      <selection activeCell="D67" sqref="D67"/>
    </sheetView>
  </sheetViews>
  <sheetFormatPr defaultRowHeight="14.4" x14ac:dyDescent="0.3"/>
  <cols>
    <col min="1" max="1" width="20.44140625" style="18" customWidth="1"/>
    <col min="2" max="2" width="21.6640625" style="18" customWidth="1"/>
    <col min="3" max="3" width="18.33203125" style="18" customWidth="1"/>
    <col min="4" max="4" width="19.33203125" style="18" customWidth="1"/>
    <col min="5" max="5" width="17.6640625" style="18" customWidth="1"/>
    <col min="6" max="6" width="8.88671875" style="18"/>
    <col min="7" max="7" width="17.109375" style="18" customWidth="1"/>
    <col min="8" max="8" width="14.5546875" style="18" customWidth="1"/>
    <col min="9" max="9" width="19.21875" style="18" bestFit="1" customWidth="1"/>
    <col min="10" max="16384" width="8.88671875" style="18"/>
  </cols>
  <sheetData>
    <row r="1" spans="1:8" ht="17.399999999999999" customHeight="1" thickBot="1" x14ac:dyDescent="0.35">
      <c r="A1" s="36"/>
      <c r="B1" s="36"/>
      <c r="C1" s="36"/>
      <c r="D1" s="36"/>
      <c r="E1" s="36"/>
    </row>
    <row r="2" spans="1:8" ht="33" customHeight="1" thickBot="1" x14ac:dyDescent="0.65">
      <c r="A2" s="44"/>
      <c r="B2" s="54" t="s">
        <v>112</v>
      </c>
      <c r="C2" s="55"/>
      <c r="D2" s="56"/>
      <c r="E2" s="45"/>
    </row>
    <row r="3" spans="1:8" ht="18" x14ac:dyDescent="0.3">
      <c r="A3" s="2" t="s">
        <v>0</v>
      </c>
      <c r="B3" s="3" t="s">
        <v>1</v>
      </c>
      <c r="C3" s="3" t="s">
        <v>2</v>
      </c>
      <c r="D3" s="3" t="s">
        <v>3</v>
      </c>
      <c r="E3" s="4" t="s">
        <v>4</v>
      </c>
    </row>
    <row r="4" spans="1:8" x14ac:dyDescent="0.3">
      <c r="A4" s="9">
        <v>45413</v>
      </c>
      <c r="B4" s="10" t="s">
        <v>6</v>
      </c>
      <c r="C4" s="10" t="s">
        <v>9</v>
      </c>
      <c r="D4" s="10">
        <v>3600000</v>
      </c>
      <c r="E4" s="11">
        <v>6536000</v>
      </c>
    </row>
    <row r="5" spans="1:8" x14ac:dyDescent="0.3">
      <c r="A5" s="9">
        <v>45414</v>
      </c>
      <c r="B5" s="10" t="s">
        <v>8</v>
      </c>
      <c r="C5" s="10" t="s">
        <v>10</v>
      </c>
      <c r="D5" s="10">
        <v>1500000</v>
      </c>
      <c r="E5" s="11">
        <v>680000</v>
      </c>
      <c r="G5" s="30" t="s">
        <v>74</v>
      </c>
      <c r="H5" s="18" t="s">
        <v>76</v>
      </c>
    </row>
    <row r="6" spans="1:8" x14ac:dyDescent="0.3">
      <c r="A6" s="9">
        <v>45415</v>
      </c>
      <c r="B6" s="10" t="s">
        <v>7</v>
      </c>
      <c r="C6" s="10" t="s">
        <v>11</v>
      </c>
      <c r="D6" s="10">
        <v>2100000</v>
      </c>
      <c r="E6" s="11">
        <v>942000</v>
      </c>
      <c r="G6" s="18" t="s">
        <v>10</v>
      </c>
      <c r="H6" s="18">
        <v>4040000</v>
      </c>
    </row>
    <row r="7" spans="1:8" x14ac:dyDescent="0.3">
      <c r="A7" s="9">
        <v>45416</v>
      </c>
      <c r="B7" s="10" t="s">
        <v>8</v>
      </c>
      <c r="C7" s="10" t="s">
        <v>9</v>
      </c>
      <c r="D7" s="10">
        <v>4500000</v>
      </c>
      <c r="E7" s="11">
        <v>900000</v>
      </c>
      <c r="G7" s="18" t="s">
        <v>9</v>
      </c>
      <c r="H7" s="18">
        <v>10536000</v>
      </c>
    </row>
    <row r="8" spans="1:8" x14ac:dyDescent="0.3">
      <c r="A8" s="9">
        <v>45417</v>
      </c>
      <c r="B8" s="10" t="s">
        <v>6</v>
      </c>
      <c r="C8" s="10" t="s">
        <v>12</v>
      </c>
      <c r="D8" s="10">
        <v>3700000</v>
      </c>
      <c r="E8" s="11">
        <v>690000</v>
      </c>
      <c r="G8" s="18" t="s">
        <v>11</v>
      </c>
      <c r="H8" s="18">
        <v>4477500</v>
      </c>
    </row>
    <row r="9" spans="1:8" x14ac:dyDescent="0.3">
      <c r="A9" s="9">
        <v>45418</v>
      </c>
      <c r="B9" s="10" t="s">
        <v>5</v>
      </c>
      <c r="C9" s="10" t="s">
        <v>10</v>
      </c>
      <c r="D9" s="10">
        <v>6602500</v>
      </c>
      <c r="E9" s="11">
        <v>1080000</v>
      </c>
      <c r="G9" s="18" t="s">
        <v>12</v>
      </c>
      <c r="H9" s="18">
        <v>5605000</v>
      </c>
    </row>
    <row r="10" spans="1:8" x14ac:dyDescent="0.3">
      <c r="A10" s="9">
        <v>45419</v>
      </c>
      <c r="B10" s="10" t="s">
        <v>7</v>
      </c>
      <c r="C10" s="10" t="s">
        <v>11</v>
      </c>
      <c r="D10" s="10">
        <v>7600000</v>
      </c>
      <c r="E10" s="11">
        <v>1520000</v>
      </c>
      <c r="G10" s="18" t="s">
        <v>75</v>
      </c>
      <c r="H10" s="18">
        <v>24658500</v>
      </c>
    </row>
    <row r="11" spans="1:8" x14ac:dyDescent="0.3">
      <c r="A11" s="9">
        <v>45420</v>
      </c>
      <c r="B11" s="10" t="s">
        <v>8</v>
      </c>
      <c r="C11" s="10" t="s">
        <v>12</v>
      </c>
      <c r="D11" s="10">
        <v>6500000</v>
      </c>
      <c r="E11" s="11">
        <v>3655000</v>
      </c>
    </row>
    <row r="12" spans="1:8" x14ac:dyDescent="0.3">
      <c r="A12" s="9">
        <v>45421</v>
      </c>
      <c r="B12" s="10" t="s">
        <v>5</v>
      </c>
      <c r="C12" s="10" t="s">
        <v>10</v>
      </c>
      <c r="D12" s="10">
        <v>369000</v>
      </c>
      <c r="E12" s="11">
        <v>1740000</v>
      </c>
    </row>
    <row r="13" spans="1:8" x14ac:dyDescent="0.3">
      <c r="A13" s="9">
        <v>45422</v>
      </c>
      <c r="B13" s="10" t="s">
        <v>8</v>
      </c>
      <c r="C13" s="10" t="s">
        <v>9</v>
      </c>
      <c r="D13" s="10">
        <v>5700000</v>
      </c>
      <c r="E13" s="11">
        <v>1140000</v>
      </c>
    </row>
    <row r="14" spans="1:8" x14ac:dyDescent="0.3">
      <c r="A14" s="9">
        <v>45423</v>
      </c>
      <c r="B14" s="10" t="s">
        <v>7</v>
      </c>
      <c r="C14" s="10" t="s">
        <v>11</v>
      </c>
      <c r="D14" s="10">
        <v>1100000</v>
      </c>
      <c r="E14" s="11">
        <v>1230500</v>
      </c>
    </row>
    <row r="15" spans="1:8" x14ac:dyDescent="0.3">
      <c r="A15" s="9">
        <v>45424</v>
      </c>
      <c r="B15" s="10" t="s">
        <v>6</v>
      </c>
      <c r="C15" s="10" t="s">
        <v>12</v>
      </c>
      <c r="D15" s="10">
        <v>7430000</v>
      </c>
      <c r="E15" s="11">
        <v>1260000</v>
      </c>
    </row>
    <row r="16" spans="1:8" x14ac:dyDescent="0.3">
      <c r="A16" s="9">
        <v>45425</v>
      </c>
      <c r="B16" s="10" t="s">
        <v>7</v>
      </c>
      <c r="C16" s="10" t="s">
        <v>10</v>
      </c>
      <c r="D16" s="10">
        <v>2700000</v>
      </c>
      <c r="E16" s="11">
        <v>540000</v>
      </c>
    </row>
    <row r="17" spans="1:5" x14ac:dyDescent="0.3">
      <c r="A17" s="9">
        <v>45426</v>
      </c>
      <c r="B17" s="10" t="s">
        <v>5</v>
      </c>
      <c r="C17" s="10" t="s">
        <v>11</v>
      </c>
      <c r="D17" s="10">
        <v>4625000</v>
      </c>
      <c r="E17" s="11">
        <v>785000</v>
      </c>
    </row>
    <row r="18" spans="1:5" x14ac:dyDescent="0.3">
      <c r="A18" s="9">
        <v>45427</v>
      </c>
      <c r="B18" s="12" t="s">
        <v>7</v>
      </c>
      <c r="C18" s="12" t="s">
        <v>9</v>
      </c>
      <c r="D18" s="12">
        <v>18865300</v>
      </c>
      <c r="E18" s="13">
        <v>1960000</v>
      </c>
    </row>
    <row r="21" spans="1:5" ht="15.6" x14ac:dyDescent="0.3">
      <c r="A21" s="8"/>
      <c r="B21" s="6"/>
    </row>
    <row r="22" spans="1:5" x14ac:dyDescent="0.3">
      <c r="A22" s="14" t="s">
        <v>43</v>
      </c>
      <c r="B22" s="11">
        <f>SUM(D4:D18)</f>
        <v>76891800</v>
      </c>
    </row>
    <row r="23" spans="1:5" x14ac:dyDescent="0.3">
      <c r="A23" s="14" t="s">
        <v>44</v>
      </c>
      <c r="B23" s="11">
        <f>AVERAGE(D4:D18)</f>
        <v>5126120</v>
      </c>
    </row>
    <row r="24" spans="1:5" x14ac:dyDescent="0.3">
      <c r="A24" s="14" t="s">
        <v>45</v>
      </c>
      <c r="B24" s="11">
        <f>MIN(D4:D18)</f>
        <v>369000</v>
      </c>
    </row>
    <row r="25" spans="1:5" x14ac:dyDescent="0.3">
      <c r="A25" s="14" t="s">
        <v>46</v>
      </c>
      <c r="B25" s="11">
        <f>MAX(D4:D18)</f>
        <v>18865300</v>
      </c>
    </row>
    <row r="26" spans="1:5" x14ac:dyDescent="0.3">
      <c r="A26" s="15" t="s">
        <v>47</v>
      </c>
      <c r="B26" s="13">
        <f>COUNT(D4:D18)</f>
        <v>15</v>
      </c>
    </row>
    <row r="27" spans="1:5" s="31" customFormat="1" x14ac:dyDescent="0.3">
      <c r="A27" s="18"/>
      <c r="B27" s="18"/>
      <c r="C27" s="18"/>
    </row>
    <row r="28" spans="1:5" ht="15.6" x14ac:dyDescent="0.3">
      <c r="A28" s="20" t="s">
        <v>87</v>
      </c>
      <c r="B28" s="6"/>
    </row>
    <row r="29" spans="1:5" x14ac:dyDescent="0.3">
      <c r="A29" s="14" t="s">
        <v>49</v>
      </c>
      <c r="B29" s="11" t="str">
        <f>IF(D4&gt;100000,"SATISFYING","NOT SATISFYING")</f>
        <v>SATISFYING</v>
      </c>
    </row>
    <row r="30" spans="1:5" x14ac:dyDescent="0.3">
      <c r="A30" s="14" t="s">
        <v>50</v>
      </c>
      <c r="B30" s="11" t="b">
        <f>AND(D4&gt;1000000,B4="Smartphone")</f>
        <v>0</v>
      </c>
    </row>
    <row r="31" spans="1:5" x14ac:dyDescent="0.3">
      <c r="A31" s="15" t="s">
        <v>51</v>
      </c>
      <c r="B31" s="13" t="b">
        <f>OR(D6&lt;200000,B6="camera")</f>
        <v>0</v>
      </c>
    </row>
    <row r="33" spans="1:2" ht="15.6" x14ac:dyDescent="0.3">
      <c r="A33" s="21" t="s">
        <v>88</v>
      </c>
      <c r="B33" s="7"/>
    </row>
    <row r="34" spans="1:2" x14ac:dyDescent="0.3">
      <c r="A34" s="14" t="s">
        <v>53</v>
      </c>
      <c r="B34" s="11" t="str">
        <f>LEFT(B12,3)</f>
        <v>Sma</v>
      </c>
    </row>
    <row r="35" spans="1:2" x14ac:dyDescent="0.3">
      <c r="A35" s="14" t="s">
        <v>54</v>
      </c>
      <c r="B35" s="11" t="str">
        <f>RIGHT(B12,3)</f>
        <v>one</v>
      </c>
    </row>
    <row r="36" spans="1:2" x14ac:dyDescent="0.3">
      <c r="A36" s="14" t="s">
        <v>55</v>
      </c>
      <c r="B36" s="11" t="str">
        <f>MID(B12,3,3)</f>
        <v>art</v>
      </c>
    </row>
    <row r="37" spans="1:2" x14ac:dyDescent="0.3">
      <c r="A37" s="15" t="s">
        <v>56</v>
      </c>
      <c r="B37" s="13" t="str">
        <f>CONCATENATE(B12," ",C12)</f>
        <v>Smartphone East</v>
      </c>
    </row>
    <row r="39" spans="1:2" ht="15.6" x14ac:dyDescent="0.3">
      <c r="A39" s="8" t="s">
        <v>89</v>
      </c>
      <c r="B39" s="6"/>
    </row>
    <row r="40" spans="1:2" x14ac:dyDescent="0.3">
      <c r="A40" s="14" t="s">
        <v>58</v>
      </c>
      <c r="B40" s="16">
        <f ca="1">TODAY()</f>
        <v>46073</v>
      </c>
    </row>
    <row r="41" spans="1:2" x14ac:dyDescent="0.3">
      <c r="A41" s="14" t="s">
        <v>59</v>
      </c>
      <c r="B41" s="17">
        <f ca="1">NOW()</f>
        <v>46073.77945671296</v>
      </c>
    </row>
    <row r="42" spans="1:2" x14ac:dyDescent="0.3">
      <c r="A42" s="15" t="s">
        <v>60</v>
      </c>
      <c r="B42" s="13"/>
    </row>
    <row r="44" spans="1:2" ht="15.6" x14ac:dyDescent="0.3">
      <c r="A44" s="21" t="s">
        <v>90</v>
      </c>
      <c r="B44" s="7"/>
    </row>
    <row r="45" spans="1:2" x14ac:dyDescent="0.3">
      <c r="A45" s="14" t="s">
        <v>62</v>
      </c>
      <c r="B45" s="23">
        <f>PMT(5%/12, 60, B22)</f>
        <v>-1451043.12310856</v>
      </c>
    </row>
    <row r="46" spans="1:2" x14ac:dyDescent="0.3">
      <c r="A46" s="15" t="s">
        <v>63</v>
      </c>
      <c r="B46" s="24">
        <f>NPV(5%,E4:E18)</f>
        <v>18164527.388574414</v>
      </c>
    </row>
    <row r="49" spans="1:2" ht="15.6" x14ac:dyDescent="0.3">
      <c r="A49" s="22" t="s">
        <v>91</v>
      </c>
      <c r="B49" s="5"/>
    </row>
    <row r="50" spans="1:2" x14ac:dyDescent="0.3">
      <c r="A50" s="25" t="s">
        <v>65</v>
      </c>
      <c r="B50" s="25">
        <f>VLOOKUP(A6, A4:E6, 4,FALSE)</f>
        <v>2100000</v>
      </c>
    </row>
    <row r="51" spans="1:2" x14ac:dyDescent="0.3">
      <c r="A51" s="26" t="s">
        <v>66</v>
      </c>
      <c r="B51" s="26" t="e">
        <f>HLOOKUP(B6,A4:E18,4,FALSE)</f>
        <v>#N/A</v>
      </c>
    </row>
    <row r="52" spans="1:2" x14ac:dyDescent="0.3">
      <c r="A52" s="25" t="s">
        <v>67</v>
      </c>
      <c r="B52" s="25"/>
    </row>
    <row r="54" spans="1:2" ht="15.6" x14ac:dyDescent="0.3">
      <c r="A54" s="22" t="s">
        <v>92</v>
      </c>
      <c r="B54" s="5"/>
    </row>
    <row r="55" spans="1:2" x14ac:dyDescent="0.3">
      <c r="A55" s="25" t="s">
        <v>69</v>
      </c>
      <c r="B55" s="25">
        <f>AVERAGE(E4:E18)</f>
        <v>1643900</v>
      </c>
    </row>
    <row r="56" spans="1:2" x14ac:dyDescent="0.3">
      <c r="A56" s="26" t="s">
        <v>70</v>
      </c>
      <c r="B56" s="26">
        <f>MEDIAN(D4:D18)</f>
        <v>4500000</v>
      </c>
    </row>
    <row r="57" spans="1:2" x14ac:dyDescent="0.3">
      <c r="A57" s="25" t="s">
        <v>71</v>
      </c>
      <c r="B57" s="25"/>
    </row>
    <row r="58" spans="1:2" x14ac:dyDescent="0.3">
      <c r="A58" s="26" t="s">
        <v>72</v>
      </c>
      <c r="B58" s="26">
        <f>STDEV(E4:E18)</f>
        <v>1554560.8497946567</v>
      </c>
    </row>
    <row r="59" spans="1:2" x14ac:dyDescent="0.3">
      <c r="A59" s="25" t="s">
        <v>73</v>
      </c>
      <c r="B59" s="25">
        <f>CORREL(D4:D18,E4:E18)</f>
        <v>9.3945746724142395E-2</v>
      </c>
    </row>
  </sheetData>
  <pageMargins left="0.7" right="0.7" top="0.75" bottom="0.75" header="0.3" footer="0.3"/>
  <pageSetup orientation="portrait" r:id="rId2"/>
  <drawing r:id="rId3"/>
  <tableParts count="6"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7"/>
  <sheetViews>
    <sheetView topLeftCell="A37" workbookViewId="0">
      <selection activeCell="G12" sqref="G12"/>
    </sheetView>
  </sheetViews>
  <sheetFormatPr defaultRowHeight="14.4" x14ac:dyDescent="0.3"/>
  <cols>
    <col min="1" max="1" width="19.109375" style="18" customWidth="1"/>
    <col min="2" max="2" width="23.6640625" style="18" customWidth="1"/>
    <col min="3" max="3" width="17.33203125" style="18" customWidth="1"/>
    <col min="4" max="4" width="24" style="18" customWidth="1"/>
    <col min="5" max="16384" width="8.88671875" style="18"/>
  </cols>
  <sheetData>
    <row r="1" spans="1:9" ht="11.4" customHeight="1" thickBot="1" x14ac:dyDescent="0.35">
      <c r="A1" s="48"/>
      <c r="B1" s="49"/>
      <c r="C1" s="49"/>
      <c r="D1" s="50"/>
    </row>
    <row r="2" spans="1:9" ht="33" customHeight="1" thickBot="1" x14ac:dyDescent="0.85">
      <c r="A2" s="51"/>
      <c r="B2" s="46" t="s">
        <v>113</v>
      </c>
      <c r="C2" s="52"/>
      <c r="D2" s="53"/>
    </row>
    <row r="3" spans="1:9" ht="18" x14ac:dyDescent="0.3">
      <c r="A3" s="47" t="s">
        <v>13</v>
      </c>
      <c r="B3" s="47" t="s">
        <v>14</v>
      </c>
      <c r="C3" s="47" t="s">
        <v>15</v>
      </c>
      <c r="D3" s="47" t="s">
        <v>16</v>
      </c>
    </row>
    <row r="4" spans="1:9" x14ac:dyDescent="0.3">
      <c r="A4" s="10" t="s">
        <v>82</v>
      </c>
      <c r="B4" s="10">
        <v>420</v>
      </c>
      <c r="C4" s="10">
        <v>44000</v>
      </c>
      <c r="D4" s="10">
        <v>0.23</v>
      </c>
    </row>
    <row r="5" spans="1:9" x14ac:dyDescent="0.3">
      <c r="A5" s="10" t="s">
        <v>19</v>
      </c>
      <c r="B5" s="10">
        <v>350</v>
      </c>
      <c r="C5" s="10">
        <v>63000</v>
      </c>
      <c r="D5" s="10">
        <v>0.12</v>
      </c>
    </row>
    <row r="6" spans="1:9" x14ac:dyDescent="0.3">
      <c r="A6" s="10" t="s">
        <v>18</v>
      </c>
      <c r="B6" s="10">
        <v>360</v>
      </c>
      <c r="C6" s="10">
        <v>32000</v>
      </c>
      <c r="D6" s="10">
        <v>0.5</v>
      </c>
    </row>
    <row r="7" spans="1:9" x14ac:dyDescent="0.3">
      <c r="A7" s="10" t="s">
        <v>82</v>
      </c>
      <c r="B7" s="10">
        <v>960</v>
      </c>
      <c r="C7" s="10">
        <v>16000</v>
      </c>
      <c r="D7" s="10">
        <v>0.14000000000000001</v>
      </c>
    </row>
    <row r="8" spans="1:9" x14ac:dyDescent="0.3">
      <c r="A8" s="10" t="s">
        <v>83</v>
      </c>
      <c r="B8" s="10">
        <v>560</v>
      </c>
      <c r="C8" s="10">
        <v>26000</v>
      </c>
      <c r="D8" s="10">
        <v>0.2</v>
      </c>
    </row>
    <row r="9" spans="1:9" x14ac:dyDescent="0.3">
      <c r="A9" s="10" t="s">
        <v>18</v>
      </c>
      <c r="B9" s="10">
        <v>110</v>
      </c>
      <c r="C9" s="10">
        <v>36000</v>
      </c>
      <c r="D9" s="10">
        <v>0.9</v>
      </c>
    </row>
    <row r="10" spans="1:9" x14ac:dyDescent="0.3">
      <c r="A10" s="10" t="s">
        <v>84</v>
      </c>
      <c r="B10" s="10">
        <v>250</v>
      </c>
      <c r="C10" s="10">
        <v>11000</v>
      </c>
      <c r="D10" s="10">
        <v>0.6</v>
      </c>
    </row>
    <row r="11" spans="1:9" x14ac:dyDescent="0.3">
      <c r="A11" s="10" t="s">
        <v>18</v>
      </c>
      <c r="B11" s="10">
        <v>130</v>
      </c>
      <c r="C11" s="10">
        <v>44000</v>
      </c>
      <c r="D11" s="10">
        <v>0.11</v>
      </c>
    </row>
    <row r="12" spans="1:9" x14ac:dyDescent="0.3">
      <c r="A12" s="10" t="s">
        <v>20</v>
      </c>
      <c r="B12" s="10">
        <v>270</v>
      </c>
      <c r="C12" s="10">
        <v>15000</v>
      </c>
      <c r="D12" s="10">
        <v>0.6</v>
      </c>
    </row>
    <row r="13" spans="1:9" x14ac:dyDescent="0.3">
      <c r="A13" s="10" t="s">
        <v>17</v>
      </c>
      <c r="B13" s="10">
        <v>290</v>
      </c>
      <c r="C13" s="10">
        <v>26000</v>
      </c>
      <c r="D13" s="10">
        <v>0.2</v>
      </c>
    </row>
    <row r="14" spans="1:9" x14ac:dyDescent="0.3">
      <c r="A14" s="10" t="s">
        <v>19</v>
      </c>
      <c r="B14" s="10">
        <v>330</v>
      </c>
      <c r="C14" s="10">
        <v>25000</v>
      </c>
      <c r="D14" s="10">
        <v>0.3</v>
      </c>
      <c r="G14" s="39"/>
      <c r="H14" s="39"/>
      <c r="I14" s="39"/>
    </row>
    <row r="15" spans="1:9" x14ac:dyDescent="0.3">
      <c r="A15" s="10" t="s">
        <v>82</v>
      </c>
      <c r="B15" s="10">
        <v>140</v>
      </c>
      <c r="C15" s="10">
        <v>69000</v>
      </c>
      <c r="D15" s="10">
        <v>0.5</v>
      </c>
      <c r="G15" s="39"/>
      <c r="H15" s="39"/>
      <c r="I15" s="39"/>
    </row>
    <row r="16" spans="1:9" x14ac:dyDescent="0.3">
      <c r="A16" s="10" t="s">
        <v>85</v>
      </c>
      <c r="B16" s="10">
        <v>160</v>
      </c>
      <c r="C16" s="10">
        <v>29000</v>
      </c>
      <c r="D16" s="10">
        <v>0.15</v>
      </c>
      <c r="G16" s="39"/>
      <c r="H16" s="39"/>
      <c r="I16" s="39"/>
    </row>
    <row r="17" spans="1:15" x14ac:dyDescent="0.3">
      <c r="A17" s="10" t="s">
        <v>83</v>
      </c>
      <c r="B17" s="10">
        <v>720</v>
      </c>
      <c r="C17" s="10">
        <v>66000</v>
      </c>
      <c r="D17" s="10">
        <v>0.4</v>
      </c>
      <c r="G17" s="39"/>
      <c r="H17" s="39"/>
      <c r="I17" s="39"/>
    </row>
    <row r="18" spans="1:15" x14ac:dyDescent="0.3">
      <c r="A18" s="10" t="s">
        <v>21</v>
      </c>
      <c r="B18" s="10">
        <v>440</v>
      </c>
      <c r="C18" s="10">
        <v>78000</v>
      </c>
      <c r="D18" s="10">
        <v>0.9</v>
      </c>
      <c r="G18" s="39"/>
      <c r="H18" s="39"/>
      <c r="I18" s="39"/>
    </row>
    <row r="19" spans="1:15" x14ac:dyDescent="0.3">
      <c r="A19" s="11"/>
      <c r="B19" s="60"/>
      <c r="C19" s="14"/>
      <c r="D19" s="39"/>
      <c r="G19" s="39"/>
      <c r="H19" s="39"/>
      <c r="I19" s="39"/>
    </row>
    <row r="20" spans="1:15" ht="15.6" x14ac:dyDescent="0.3">
      <c r="A20" s="33" t="s">
        <v>42</v>
      </c>
      <c r="B20" s="34"/>
      <c r="C20" s="35"/>
    </row>
    <row r="21" spans="1:15" x14ac:dyDescent="0.3">
      <c r="A21" s="60" t="s">
        <v>43</v>
      </c>
      <c r="B21" s="14"/>
      <c r="C21" s="11">
        <f>SUM(C4:C18)</f>
        <v>580000</v>
      </c>
      <c r="M21" s="39"/>
      <c r="N21" s="39"/>
      <c r="O21" s="39"/>
    </row>
    <row r="22" spans="1:15" x14ac:dyDescent="0.3">
      <c r="A22" s="60" t="s">
        <v>44</v>
      </c>
      <c r="B22" s="14"/>
      <c r="C22" s="11">
        <f>AVERAGE(C4:C18)</f>
        <v>38666.666666666664</v>
      </c>
      <c r="M22" s="39"/>
      <c r="N22" s="39"/>
      <c r="O22" s="39"/>
    </row>
    <row r="23" spans="1:15" x14ac:dyDescent="0.3">
      <c r="A23" s="60" t="s">
        <v>45</v>
      </c>
      <c r="B23" s="14"/>
      <c r="C23" s="11">
        <f>MIN(C4:C18)</f>
        <v>11000</v>
      </c>
      <c r="M23" s="39"/>
      <c r="N23" s="39"/>
      <c r="O23" s="39"/>
    </row>
    <row r="24" spans="1:15" x14ac:dyDescent="0.3">
      <c r="A24" s="60" t="s">
        <v>46</v>
      </c>
      <c r="B24" s="14"/>
      <c r="C24" s="11">
        <f>MAX(C4:C18)</f>
        <v>78000</v>
      </c>
      <c r="M24" s="39"/>
      <c r="N24" s="39"/>
      <c r="O24" s="39"/>
    </row>
    <row r="25" spans="1:15" x14ac:dyDescent="0.3">
      <c r="A25" s="61" t="s">
        <v>47</v>
      </c>
      <c r="B25" s="15"/>
      <c r="C25" s="13">
        <f>COUNT(C4:C18)</f>
        <v>15</v>
      </c>
      <c r="M25" s="39"/>
      <c r="N25" s="39"/>
      <c r="O25" s="39"/>
    </row>
    <row r="26" spans="1:15" x14ac:dyDescent="0.3">
      <c r="A26" s="61"/>
      <c r="B26" s="15"/>
      <c r="C26" s="13"/>
      <c r="M26" s="39"/>
      <c r="N26" s="39"/>
      <c r="O26" s="39"/>
    </row>
    <row r="27" spans="1:15" ht="15.6" x14ac:dyDescent="0.3">
      <c r="A27" s="29" t="s">
        <v>117</v>
      </c>
      <c r="B27" s="29"/>
      <c r="C27" s="29"/>
      <c r="M27" s="39"/>
      <c r="N27" s="39"/>
      <c r="O27" s="39"/>
    </row>
    <row r="28" spans="1:15" x14ac:dyDescent="0.3">
      <c r="A28" s="60" t="s">
        <v>49</v>
      </c>
      <c r="B28" s="14"/>
      <c r="C28" s="11" t="e">
        <f>IF(#REF!&gt;10000,"SATISFYING","NOT SATISFYING")</f>
        <v>#REF!</v>
      </c>
    </row>
    <row r="29" spans="1:15" x14ac:dyDescent="0.3">
      <c r="A29" s="60" t="s">
        <v>50</v>
      </c>
      <c r="B29" s="14"/>
      <c r="C29" s="11" t="e">
        <f>AND(#REF!&gt;100000,B4="100")</f>
        <v>#REF!</v>
      </c>
    </row>
    <row r="30" spans="1:15" x14ac:dyDescent="0.3">
      <c r="A30" s="61" t="s">
        <v>51</v>
      </c>
      <c r="B30" s="15"/>
      <c r="C30" s="13" t="b">
        <f>OR(E5&lt;20000,B6="320")</f>
        <v>1</v>
      </c>
    </row>
    <row r="32" spans="1:15" ht="15.6" x14ac:dyDescent="0.3">
      <c r="A32" s="29" t="s">
        <v>122</v>
      </c>
      <c r="B32" s="29"/>
      <c r="C32" s="29"/>
    </row>
    <row r="33" spans="1:3" x14ac:dyDescent="0.3">
      <c r="A33" s="14" t="s">
        <v>53</v>
      </c>
      <c r="B33" s="10"/>
      <c r="C33" s="11" t="str">
        <f>LEFT(A12,3)</f>
        <v>Rep</v>
      </c>
    </row>
    <row r="34" spans="1:3" x14ac:dyDescent="0.3">
      <c r="A34" s="14" t="s">
        <v>54</v>
      </c>
      <c r="B34" s="10"/>
      <c r="C34" s="11" t="str">
        <f>RIGHT(A12,3)</f>
        <v>Day</v>
      </c>
    </row>
    <row r="35" spans="1:3" x14ac:dyDescent="0.3">
      <c r="A35" s="14" t="s">
        <v>55</v>
      </c>
      <c r="B35" s="10"/>
      <c r="C35" s="11" t="str">
        <f>MID(A12,3,3)</f>
        <v>pub</v>
      </c>
    </row>
    <row r="36" spans="1:3" x14ac:dyDescent="0.3">
      <c r="A36" s="15" t="s">
        <v>56</v>
      </c>
      <c r="B36" s="12"/>
      <c r="C36" s="13" t="str">
        <f>CONCATENATE(A12," ",B12)</f>
        <v>RepublicDay 270</v>
      </c>
    </row>
    <row r="38" spans="1:3" ht="15.6" x14ac:dyDescent="0.3">
      <c r="A38" s="8" t="s">
        <v>121</v>
      </c>
      <c r="B38" s="27"/>
      <c r="C38" s="28"/>
    </row>
    <row r="39" spans="1:3" x14ac:dyDescent="0.3">
      <c r="A39" s="14" t="s">
        <v>58</v>
      </c>
      <c r="B39" s="10"/>
      <c r="C39" s="16">
        <f ca="1">TODAY()</f>
        <v>46073</v>
      </c>
    </row>
    <row r="40" spans="1:3" x14ac:dyDescent="0.3">
      <c r="A40" s="14" t="s">
        <v>59</v>
      </c>
      <c r="B40" s="10"/>
      <c r="C40" s="17">
        <f ca="1">NOW()</f>
        <v>46073.77945671296</v>
      </c>
    </row>
    <row r="41" spans="1:3" x14ac:dyDescent="0.3">
      <c r="A41" s="15" t="s">
        <v>60</v>
      </c>
      <c r="B41" s="12"/>
      <c r="C41" s="13"/>
    </row>
    <row r="43" spans="1:3" ht="15.6" x14ac:dyDescent="0.3">
      <c r="A43" s="29" t="s">
        <v>120</v>
      </c>
      <c r="B43" s="29"/>
      <c r="C43" s="29"/>
    </row>
    <row r="44" spans="1:3" x14ac:dyDescent="0.3">
      <c r="A44" s="14" t="s">
        <v>62</v>
      </c>
      <c r="B44" s="10"/>
      <c r="C44" s="23">
        <f>PMT(5%/12, 60, C21)</f>
        <v>-10945.315513526342</v>
      </c>
    </row>
    <row r="45" spans="1:3" x14ac:dyDescent="0.3">
      <c r="A45" s="15" t="s">
        <v>63</v>
      </c>
      <c r="B45" s="12"/>
      <c r="C45" s="24">
        <f>NPV(5%,C4:C18)</f>
        <v>389590.30309934111</v>
      </c>
    </row>
    <row r="47" spans="1:3" ht="15.6" x14ac:dyDescent="0.3">
      <c r="A47" s="8" t="s">
        <v>119</v>
      </c>
      <c r="B47" s="27"/>
      <c r="C47" s="28"/>
    </row>
    <row r="48" spans="1:3" x14ac:dyDescent="0.3">
      <c r="A48" s="14" t="s">
        <v>65</v>
      </c>
      <c r="B48" s="10"/>
      <c r="C48" s="11">
        <f>VLOOKUP(A8,A4:D18,4,FALSE)</f>
        <v>0.2</v>
      </c>
    </row>
    <row r="49" spans="1:3" x14ac:dyDescent="0.3">
      <c r="A49" s="14" t="s">
        <v>66</v>
      </c>
      <c r="B49" s="10"/>
      <c r="C49" s="11">
        <f>HLOOKUP(B4,A4:D18,5,FALSE)</f>
        <v>560</v>
      </c>
    </row>
    <row r="50" spans="1:3" x14ac:dyDescent="0.3">
      <c r="A50" s="15" t="s">
        <v>67</v>
      </c>
      <c r="B50" s="12"/>
      <c r="C50" s="13"/>
    </row>
    <row r="52" spans="1:3" ht="15.6" x14ac:dyDescent="0.3">
      <c r="A52" s="27" t="s">
        <v>118</v>
      </c>
      <c r="B52" s="27"/>
      <c r="C52" s="27"/>
    </row>
    <row r="53" spans="1:3" x14ac:dyDescent="0.3">
      <c r="A53" s="14" t="s">
        <v>69</v>
      </c>
      <c r="B53" s="10"/>
      <c r="C53" s="11">
        <f>AVERAGE(C4:C18)</f>
        <v>38666.666666666664</v>
      </c>
    </row>
    <row r="54" spans="1:3" x14ac:dyDescent="0.3">
      <c r="A54" s="14" t="s">
        <v>70</v>
      </c>
      <c r="B54" s="10"/>
      <c r="C54" s="11">
        <f>MEDIAN(C4:C18)</f>
        <v>32000</v>
      </c>
    </row>
    <row r="55" spans="1:3" x14ac:dyDescent="0.3">
      <c r="A55" s="14" t="s">
        <v>71</v>
      </c>
      <c r="B55" s="10"/>
      <c r="C55" s="11">
        <f>MODE(C4:C18)</f>
        <v>44000</v>
      </c>
    </row>
    <row r="56" spans="1:3" x14ac:dyDescent="0.3">
      <c r="A56" s="14" t="s">
        <v>72</v>
      </c>
      <c r="B56" s="10"/>
      <c r="C56" s="11">
        <f>STDEV(C4:C18)</f>
        <v>21306.158287039474</v>
      </c>
    </row>
    <row r="57" spans="1:3" x14ac:dyDescent="0.3">
      <c r="A57" s="15" t="s">
        <v>73</v>
      </c>
      <c r="B57" s="12"/>
      <c r="C57" s="13">
        <f>CORREL(B4:B18,C4:C18)</f>
        <v>-2.7178942785311508E-2</v>
      </c>
    </row>
  </sheetData>
  <mergeCells count="1">
    <mergeCell ref="A20:C20"/>
  </mergeCells>
  <pageMargins left="0.7" right="0.7" top="0.75" bottom="0.75" header="0.3" footer="0.3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57"/>
  <sheetViews>
    <sheetView topLeftCell="A40" workbookViewId="0">
      <selection activeCell="F53" sqref="F53"/>
    </sheetView>
  </sheetViews>
  <sheetFormatPr defaultRowHeight="14.4" x14ac:dyDescent="0.3"/>
  <cols>
    <col min="1" max="1" width="22.33203125" style="18" customWidth="1"/>
    <col min="2" max="2" width="19.6640625" style="18" customWidth="1"/>
    <col min="3" max="3" width="22.5546875" style="18" customWidth="1"/>
    <col min="4" max="4" width="26.33203125" style="18" customWidth="1"/>
    <col min="5" max="5" width="8.88671875" style="18"/>
    <col min="6" max="6" width="16.77734375" style="18" customWidth="1"/>
    <col min="7" max="7" width="22.5546875" style="18" bestFit="1" customWidth="1"/>
    <col min="8" max="8" width="12.5546875" style="18" bestFit="1" customWidth="1"/>
    <col min="9" max="9" width="15.5546875" style="18" bestFit="1" customWidth="1"/>
    <col min="10" max="16384" width="8.88671875" style="18"/>
  </cols>
  <sheetData>
    <row r="2" spans="1:6" ht="30.6" customHeight="1" x14ac:dyDescent="0.6">
      <c r="A2" s="57"/>
      <c r="B2" s="58" t="s">
        <v>114</v>
      </c>
      <c r="C2" s="57"/>
      <c r="D2" s="57"/>
    </row>
    <row r="3" spans="1:6" ht="18" x14ac:dyDescent="0.3">
      <c r="A3" s="19" t="s">
        <v>22</v>
      </c>
      <c r="B3" s="19" t="s">
        <v>23</v>
      </c>
      <c r="C3" s="19" t="s">
        <v>4</v>
      </c>
      <c r="D3" s="19" t="s">
        <v>24</v>
      </c>
    </row>
    <row r="4" spans="1:6" x14ac:dyDescent="0.3">
      <c r="A4" s="10">
        <v>4000000</v>
      </c>
      <c r="B4" s="10">
        <f>(A4*80%)</f>
        <v>3200000</v>
      </c>
      <c r="C4" s="10">
        <f>(A4-B4)</f>
        <v>800000</v>
      </c>
      <c r="D4" s="10">
        <v>0.89</v>
      </c>
    </row>
    <row r="5" spans="1:6" x14ac:dyDescent="0.3">
      <c r="A5" s="10">
        <v>3600000</v>
      </c>
      <c r="B5" s="10">
        <f t="shared" ref="B5:B18" si="0">(A5*80%)</f>
        <v>2880000</v>
      </c>
      <c r="C5" s="10">
        <f t="shared" ref="C5:C18" si="1">(A5-B5)</f>
        <v>720000</v>
      </c>
      <c r="D5" s="10">
        <v>0.96</v>
      </c>
      <c r="F5" s="18" t="s">
        <v>86</v>
      </c>
    </row>
    <row r="6" spans="1:6" x14ac:dyDescent="0.3">
      <c r="A6" s="10">
        <v>4100000</v>
      </c>
      <c r="B6" s="10">
        <f t="shared" si="0"/>
        <v>3280000</v>
      </c>
      <c r="C6" s="10">
        <f t="shared" si="1"/>
        <v>820000</v>
      </c>
      <c r="D6" s="10">
        <v>0.55000000000000004</v>
      </c>
      <c r="F6" s="18">
        <f>SUM(B4:B18)</f>
        <v>58960000</v>
      </c>
    </row>
    <row r="7" spans="1:6" x14ac:dyDescent="0.3">
      <c r="A7" s="10">
        <v>4400000</v>
      </c>
      <c r="B7" s="10">
        <f t="shared" si="0"/>
        <v>3520000</v>
      </c>
      <c r="C7" s="10">
        <f t="shared" si="1"/>
        <v>880000</v>
      </c>
      <c r="D7" s="10">
        <v>0.8</v>
      </c>
    </row>
    <row r="8" spans="1:6" x14ac:dyDescent="0.3">
      <c r="A8" s="10">
        <v>6900000</v>
      </c>
      <c r="B8" s="10">
        <f t="shared" si="0"/>
        <v>5520000</v>
      </c>
      <c r="C8" s="10">
        <f t="shared" si="1"/>
        <v>1380000</v>
      </c>
      <c r="D8" s="10">
        <v>0.12</v>
      </c>
    </row>
    <row r="9" spans="1:6" x14ac:dyDescent="0.3">
      <c r="A9" s="10">
        <v>2300000</v>
      </c>
      <c r="B9" s="10">
        <f t="shared" si="0"/>
        <v>1840000</v>
      </c>
      <c r="C9" s="10">
        <f t="shared" si="1"/>
        <v>460000</v>
      </c>
      <c r="D9" s="10">
        <v>1</v>
      </c>
    </row>
    <row r="10" spans="1:6" x14ac:dyDescent="0.3">
      <c r="A10" s="10">
        <v>5800000</v>
      </c>
      <c r="B10" s="10">
        <f t="shared" si="0"/>
        <v>4640000</v>
      </c>
      <c r="C10" s="10">
        <f t="shared" si="1"/>
        <v>1160000</v>
      </c>
      <c r="D10" s="10">
        <v>0.72</v>
      </c>
    </row>
    <row r="11" spans="1:6" x14ac:dyDescent="0.3">
      <c r="A11" s="10">
        <v>9200000</v>
      </c>
      <c r="B11" s="10">
        <f t="shared" si="0"/>
        <v>7360000</v>
      </c>
      <c r="C11" s="10">
        <f t="shared" si="1"/>
        <v>1840000</v>
      </c>
      <c r="D11" s="10">
        <v>1.2</v>
      </c>
    </row>
    <row r="12" spans="1:6" x14ac:dyDescent="0.3">
      <c r="A12" s="10">
        <v>6300000</v>
      </c>
      <c r="B12" s="10">
        <f t="shared" si="0"/>
        <v>5040000</v>
      </c>
      <c r="C12" s="10">
        <f t="shared" si="1"/>
        <v>1260000</v>
      </c>
      <c r="D12" s="10">
        <v>1.22</v>
      </c>
    </row>
    <row r="13" spans="1:6" x14ac:dyDescent="0.3">
      <c r="A13" s="10">
        <v>1200000</v>
      </c>
      <c r="B13" s="10">
        <f t="shared" si="0"/>
        <v>960000</v>
      </c>
      <c r="C13" s="10">
        <f t="shared" si="1"/>
        <v>240000</v>
      </c>
      <c r="D13" s="10">
        <v>0.79</v>
      </c>
    </row>
    <row r="14" spans="1:6" x14ac:dyDescent="0.3">
      <c r="A14" s="10">
        <v>2600000</v>
      </c>
      <c r="B14" s="10">
        <f t="shared" si="0"/>
        <v>2080000</v>
      </c>
      <c r="C14" s="10">
        <f t="shared" si="1"/>
        <v>520000</v>
      </c>
      <c r="D14" s="10">
        <v>0.89</v>
      </c>
    </row>
    <row r="15" spans="1:6" x14ac:dyDescent="0.3">
      <c r="A15" s="10">
        <v>5600000</v>
      </c>
      <c r="B15" s="10">
        <f t="shared" si="0"/>
        <v>4480000</v>
      </c>
      <c r="C15" s="10">
        <f t="shared" si="1"/>
        <v>1120000</v>
      </c>
      <c r="D15" s="10">
        <v>2.1</v>
      </c>
    </row>
    <row r="16" spans="1:6" x14ac:dyDescent="0.3">
      <c r="A16" s="10">
        <v>7600000</v>
      </c>
      <c r="B16" s="10">
        <f>(A16*80%)</f>
        <v>6080000</v>
      </c>
      <c r="C16" s="10">
        <f t="shared" si="1"/>
        <v>1520000</v>
      </c>
      <c r="D16" s="10">
        <v>1.21</v>
      </c>
    </row>
    <row r="17" spans="1:4" x14ac:dyDescent="0.3">
      <c r="A17" s="10">
        <v>1200000</v>
      </c>
      <c r="B17" s="10">
        <f t="shared" si="0"/>
        <v>960000</v>
      </c>
      <c r="C17" s="10">
        <f t="shared" si="1"/>
        <v>240000</v>
      </c>
      <c r="D17" s="10">
        <v>0.89</v>
      </c>
    </row>
    <row r="18" spans="1:4" x14ac:dyDescent="0.3">
      <c r="A18" s="10">
        <v>8900000</v>
      </c>
      <c r="B18" s="10">
        <f t="shared" si="0"/>
        <v>7120000</v>
      </c>
      <c r="C18" s="10">
        <f t="shared" si="1"/>
        <v>1780000</v>
      </c>
      <c r="D18" s="10">
        <v>0.88</v>
      </c>
    </row>
    <row r="20" spans="1:4" ht="15.6" x14ac:dyDescent="0.3">
      <c r="A20" s="32" t="s">
        <v>42</v>
      </c>
      <c r="B20" s="32"/>
      <c r="C20" s="32"/>
    </row>
    <row r="21" spans="1:4" x14ac:dyDescent="0.3">
      <c r="A21" s="14" t="s">
        <v>43</v>
      </c>
      <c r="B21" s="10"/>
      <c r="C21" s="11">
        <f>SUM(C4:C18)</f>
        <v>14740000</v>
      </c>
    </row>
    <row r="22" spans="1:4" x14ac:dyDescent="0.3">
      <c r="A22" s="14" t="s">
        <v>44</v>
      </c>
      <c r="B22" s="10"/>
      <c r="C22" s="11">
        <f>AVERAGE(C4:C18)</f>
        <v>982666.66666666663</v>
      </c>
    </row>
    <row r="23" spans="1:4" x14ac:dyDescent="0.3">
      <c r="A23" s="14" t="s">
        <v>45</v>
      </c>
      <c r="B23" s="10"/>
      <c r="C23" s="11">
        <f>MIN(C4:C18)</f>
        <v>240000</v>
      </c>
    </row>
    <row r="24" spans="1:4" x14ac:dyDescent="0.3">
      <c r="A24" s="14" t="s">
        <v>46</v>
      </c>
      <c r="B24" s="10"/>
      <c r="C24" s="11">
        <f>MAX(C4:C18)</f>
        <v>1840000</v>
      </c>
    </row>
    <row r="25" spans="1:4" x14ac:dyDescent="0.3">
      <c r="A25" s="15" t="s">
        <v>47</v>
      </c>
      <c r="B25" s="12"/>
      <c r="C25" s="13">
        <f>COUNT(C4:C18)</f>
        <v>15</v>
      </c>
    </row>
    <row r="27" spans="1:4" ht="15.6" x14ac:dyDescent="0.3">
      <c r="A27" s="32" t="s">
        <v>48</v>
      </c>
      <c r="B27" s="32"/>
      <c r="C27" s="32"/>
    </row>
    <row r="28" spans="1:4" x14ac:dyDescent="0.3">
      <c r="A28" s="14" t="s">
        <v>49</v>
      </c>
      <c r="B28" s="10"/>
      <c r="C28" s="11" t="str">
        <f>IF(C4&gt;100000,"SATISFYING","NOT SATISFYING")</f>
        <v>SATISFYING</v>
      </c>
    </row>
    <row r="29" spans="1:4" x14ac:dyDescent="0.3">
      <c r="A29" s="14" t="s">
        <v>50</v>
      </c>
      <c r="B29" s="10"/>
      <c r="C29" s="11" t="b">
        <f>AND(B4&gt;2000000,C4="1000000")</f>
        <v>0</v>
      </c>
    </row>
    <row r="30" spans="1:4" x14ac:dyDescent="0.3">
      <c r="A30" s="15" t="s">
        <v>51</v>
      </c>
      <c r="B30" s="12"/>
      <c r="C30" s="13" t="b">
        <f>OR(B6&lt;200000,C6="1400000")</f>
        <v>0</v>
      </c>
    </row>
    <row r="32" spans="1:4" ht="15.6" x14ac:dyDescent="0.3">
      <c r="A32" s="33" t="s">
        <v>52</v>
      </c>
      <c r="B32" s="34"/>
      <c r="C32" s="35"/>
    </row>
    <row r="33" spans="1:3" x14ac:dyDescent="0.3">
      <c r="A33" s="14" t="s">
        <v>53</v>
      </c>
      <c r="B33" s="10"/>
      <c r="C33" s="11" t="str">
        <f>LEFT(B12,3)</f>
        <v>504</v>
      </c>
    </row>
    <row r="34" spans="1:3" x14ac:dyDescent="0.3">
      <c r="A34" s="14" t="s">
        <v>54</v>
      </c>
      <c r="B34" s="10"/>
      <c r="C34" s="11" t="str">
        <f>RIGHT(B12,3)</f>
        <v>000</v>
      </c>
    </row>
    <row r="35" spans="1:3" x14ac:dyDescent="0.3">
      <c r="A35" s="14" t="s">
        <v>55</v>
      </c>
      <c r="B35" s="10"/>
      <c r="C35" s="11" t="str">
        <f>MID(B12,3,3)</f>
        <v>400</v>
      </c>
    </row>
    <row r="36" spans="1:3" x14ac:dyDescent="0.3">
      <c r="A36" s="15" t="s">
        <v>56</v>
      </c>
      <c r="B36" s="12"/>
      <c r="C36" s="13" t="str">
        <f>CONCATENATE(B12," ",C12)</f>
        <v>5040000 1260000</v>
      </c>
    </row>
    <row r="38" spans="1:3" ht="15.6" x14ac:dyDescent="0.3">
      <c r="A38" s="32" t="s">
        <v>57</v>
      </c>
      <c r="B38" s="32"/>
      <c r="C38" s="32"/>
    </row>
    <row r="39" spans="1:3" x14ac:dyDescent="0.3">
      <c r="A39" s="14" t="s">
        <v>58</v>
      </c>
      <c r="B39" s="10"/>
      <c r="C39" s="16">
        <f ca="1">TODAY()</f>
        <v>46073</v>
      </c>
    </row>
    <row r="40" spans="1:3" x14ac:dyDescent="0.3">
      <c r="A40" s="14" t="s">
        <v>59</v>
      </c>
      <c r="B40" s="10"/>
      <c r="C40" s="17">
        <f ca="1">NOW()</f>
        <v>46073.77945671296</v>
      </c>
    </row>
    <row r="41" spans="1:3" x14ac:dyDescent="0.3">
      <c r="A41" s="15" t="s">
        <v>60</v>
      </c>
      <c r="B41" s="12"/>
      <c r="C41" s="13"/>
    </row>
    <row r="43" spans="1:3" ht="15.6" x14ac:dyDescent="0.3">
      <c r="A43" s="33" t="s">
        <v>61</v>
      </c>
      <c r="B43" s="34"/>
      <c r="C43" s="35"/>
    </row>
    <row r="44" spans="1:3" x14ac:dyDescent="0.3">
      <c r="A44" s="14" t="s">
        <v>62</v>
      </c>
      <c r="B44" s="10"/>
      <c r="C44" s="23">
        <f>PMT(5%/10, 50, C21)</f>
        <v>-333916.39311662939</v>
      </c>
    </row>
    <row r="45" spans="1:3" x14ac:dyDescent="0.3">
      <c r="A45" s="15" t="s">
        <v>63</v>
      </c>
      <c r="B45" s="12"/>
      <c r="C45" s="24">
        <f>NPV(5%,C4:C18)</f>
        <v>10012343.70653999</v>
      </c>
    </row>
    <row r="47" spans="1:3" ht="15.6" x14ac:dyDescent="0.3">
      <c r="A47" s="32" t="s">
        <v>64</v>
      </c>
      <c r="B47" s="32"/>
      <c r="C47" s="32"/>
    </row>
    <row r="48" spans="1:3" x14ac:dyDescent="0.3">
      <c r="A48" s="14" t="s">
        <v>65</v>
      </c>
      <c r="B48" s="10"/>
      <c r="C48" s="11">
        <f>VLOOKUP(A6,A4:D18,3,FALSE)</f>
        <v>820000</v>
      </c>
    </row>
    <row r="49" spans="1:3" x14ac:dyDescent="0.3">
      <c r="A49" s="14" t="s">
        <v>66</v>
      </c>
      <c r="B49" s="10"/>
      <c r="C49" s="11">
        <f>HLOOKUP(B4,A4:D18,4,FALSE)</f>
        <v>3520000</v>
      </c>
    </row>
    <row r="50" spans="1:3" x14ac:dyDescent="0.3">
      <c r="A50" s="15" t="s">
        <v>67</v>
      </c>
      <c r="B50" s="12"/>
      <c r="C50" s="13"/>
    </row>
    <row r="52" spans="1:3" ht="15.6" x14ac:dyDescent="0.3">
      <c r="A52" s="32" t="s">
        <v>68</v>
      </c>
      <c r="B52" s="32"/>
      <c r="C52" s="32"/>
    </row>
    <row r="53" spans="1:3" x14ac:dyDescent="0.3">
      <c r="A53" s="14" t="s">
        <v>69</v>
      </c>
      <c r="B53" s="10"/>
      <c r="C53" s="11">
        <f>AVERAGE(C4:C18)</f>
        <v>982666.66666666663</v>
      </c>
    </row>
    <row r="54" spans="1:3" x14ac:dyDescent="0.3">
      <c r="A54" s="14" t="s">
        <v>70</v>
      </c>
      <c r="B54" s="10"/>
      <c r="C54" s="11">
        <f>MEDIAN(C4:C18)</f>
        <v>880000</v>
      </c>
    </row>
    <row r="55" spans="1:3" x14ac:dyDescent="0.3">
      <c r="A55" s="14" t="s">
        <v>71</v>
      </c>
      <c r="B55" s="10"/>
      <c r="C55" s="11"/>
    </row>
    <row r="56" spans="1:3" x14ac:dyDescent="0.3">
      <c r="A56" s="14" t="s">
        <v>72</v>
      </c>
      <c r="B56" s="10"/>
      <c r="C56" s="11">
        <f>STDEV(C4:C18)</f>
        <v>512298.27621174353</v>
      </c>
    </row>
    <row r="57" spans="1:3" x14ac:dyDescent="0.3">
      <c r="A57" s="15" t="s">
        <v>73</v>
      </c>
      <c r="B57" s="12"/>
      <c r="C57" s="13">
        <f>CORREL(B4:B18,C4:C18)</f>
        <v>0.99999999999999989</v>
      </c>
    </row>
  </sheetData>
  <mergeCells count="7">
    <mergeCell ref="A20:C20"/>
    <mergeCell ref="A27:C27"/>
    <mergeCell ref="A32:C32"/>
    <mergeCell ref="A38:C38"/>
    <mergeCell ref="A43:C43"/>
    <mergeCell ref="A47:C47"/>
    <mergeCell ref="A52:C52"/>
  </mergeCells>
  <pageMargins left="0.7" right="0.7" top="0.75" bottom="0.75" header="0.3" footer="0.3"/>
  <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57"/>
  <sheetViews>
    <sheetView topLeftCell="A19" workbookViewId="0">
      <selection activeCell="E53" sqref="E53"/>
    </sheetView>
  </sheetViews>
  <sheetFormatPr defaultRowHeight="14.4" x14ac:dyDescent="0.3"/>
  <cols>
    <col min="1" max="1" width="19.109375" style="18" customWidth="1"/>
    <col min="2" max="2" width="19" style="18" customWidth="1"/>
    <col min="3" max="3" width="18.33203125" style="18" customWidth="1"/>
    <col min="4" max="4" width="20" style="18" customWidth="1"/>
    <col min="5" max="5" width="17.33203125" style="18" customWidth="1"/>
    <col min="6" max="6" width="8.88671875" style="18"/>
    <col min="7" max="7" width="13.109375" style="18" bestFit="1" customWidth="1"/>
    <col min="8" max="8" width="12.88671875" style="18" customWidth="1"/>
    <col min="9" max="9" width="16.5546875" style="18" customWidth="1"/>
    <col min="10" max="10" width="16.5546875" style="18" bestFit="1" customWidth="1"/>
    <col min="11" max="16384" width="8.88671875" style="18"/>
  </cols>
  <sheetData>
    <row r="2" spans="1:7" ht="27.6" customHeight="1" x14ac:dyDescent="0.6">
      <c r="A2" s="59"/>
      <c r="B2" s="58" t="s">
        <v>115</v>
      </c>
      <c r="C2" s="59"/>
      <c r="D2" s="59"/>
      <c r="E2" s="59"/>
    </row>
    <row r="3" spans="1:7" ht="18" x14ac:dyDescent="0.3">
      <c r="A3" s="19" t="s">
        <v>78</v>
      </c>
      <c r="B3" s="19" t="s">
        <v>25</v>
      </c>
      <c r="C3" s="19" t="s">
        <v>26</v>
      </c>
      <c r="D3" s="19" t="s">
        <v>27</v>
      </c>
      <c r="E3" s="19" t="s">
        <v>28</v>
      </c>
    </row>
    <row r="4" spans="1:7" x14ac:dyDescent="0.3">
      <c r="A4" s="14">
        <v>301</v>
      </c>
      <c r="B4" s="10" t="s">
        <v>93</v>
      </c>
      <c r="C4" s="10">
        <v>25000</v>
      </c>
      <c r="D4" s="10">
        <v>2</v>
      </c>
      <c r="E4" s="11" t="s">
        <v>34</v>
      </c>
    </row>
    <row r="5" spans="1:7" x14ac:dyDescent="0.3">
      <c r="A5" s="14">
        <v>302</v>
      </c>
      <c r="B5" s="10" t="s">
        <v>30</v>
      </c>
      <c r="C5" s="10">
        <v>52000</v>
      </c>
      <c r="D5" s="10">
        <v>6</v>
      </c>
      <c r="E5" s="11" t="s">
        <v>35</v>
      </c>
      <c r="G5" s="30" t="s">
        <v>74</v>
      </c>
    </row>
    <row r="6" spans="1:7" x14ac:dyDescent="0.3">
      <c r="A6" s="14">
        <v>303</v>
      </c>
      <c r="B6" s="10" t="s">
        <v>94</v>
      </c>
      <c r="C6" s="10">
        <v>56000</v>
      </c>
      <c r="D6" s="10">
        <v>8</v>
      </c>
      <c r="E6" s="11" t="s">
        <v>34</v>
      </c>
      <c r="G6" s="18" t="s">
        <v>31</v>
      </c>
    </row>
    <row r="7" spans="1:7" x14ac:dyDescent="0.3">
      <c r="A7" s="14">
        <v>304</v>
      </c>
      <c r="B7" s="10" t="s">
        <v>32</v>
      </c>
      <c r="C7" s="10">
        <v>50000</v>
      </c>
      <c r="D7" s="10">
        <v>6</v>
      </c>
      <c r="E7" s="11" t="s">
        <v>34</v>
      </c>
      <c r="G7" s="18" t="s">
        <v>34</v>
      </c>
    </row>
    <row r="8" spans="1:7" x14ac:dyDescent="0.3">
      <c r="A8" s="14">
        <v>305</v>
      </c>
      <c r="B8" s="10" t="s">
        <v>31</v>
      </c>
      <c r="C8" s="10">
        <v>85000</v>
      </c>
      <c r="D8" s="10">
        <v>4</v>
      </c>
      <c r="E8" s="11" t="s">
        <v>35</v>
      </c>
      <c r="G8" s="18" t="s">
        <v>32</v>
      </c>
    </row>
    <row r="9" spans="1:7" x14ac:dyDescent="0.3">
      <c r="A9" s="14">
        <v>306</v>
      </c>
      <c r="B9" s="10" t="s">
        <v>93</v>
      </c>
      <c r="C9" s="10">
        <v>26000</v>
      </c>
      <c r="D9" s="10">
        <v>2</v>
      </c>
      <c r="E9" s="11" t="s">
        <v>34</v>
      </c>
      <c r="G9" s="18" t="s">
        <v>34</v>
      </c>
    </row>
    <row r="10" spans="1:7" x14ac:dyDescent="0.3">
      <c r="A10" s="14">
        <v>307</v>
      </c>
      <c r="B10" s="10" t="s">
        <v>30</v>
      </c>
      <c r="C10" s="10">
        <v>36000</v>
      </c>
      <c r="D10" s="10">
        <v>3</v>
      </c>
      <c r="E10" s="11" t="s">
        <v>35</v>
      </c>
      <c r="G10" s="18" t="s">
        <v>33</v>
      </c>
    </row>
    <row r="11" spans="1:7" x14ac:dyDescent="0.3">
      <c r="A11" s="14">
        <v>308</v>
      </c>
      <c r="B11" s="10" t="s">
        <v>94</v>
      </c>
      <c r="C11" s="10">
        <v>66000</v>
      </c>
      <c r="D11" s="10">
        <v>6</v>
      </c>
      <c r="E11" s="11" t="s">
        <v>34</v>
      </c>
      <c r="G11" s="18" t="s">
        <v>35</v>
      </c>
    </row>
    <row r="12" spans="1:7" x14ac:dyDescent="0.3">
      <c r="A12" s="14">
        <v>309</v>
      </c>
      <c r="B12" s="10" t="s">
        <v>32</v>
      </c>
      <c r="C12" s="10">
        <v>45000</v>
      </c>
      <c r="D12" s="10">
        <v>4</v>
      </c>
      <c r="E12" s="11" t="s">
        <v>34</v>
      </c>
      <c r="G12" s="18" t="s">
        <v>30</v>
      </c>
    </row>
    <row r="13" spans="1:7" x14ac:dyDescent="0.3">
      <c r="A13" s="14">
        <v>310</v>
      </c>
      <c r="B13" s="10" t="s">
        <v>31</v>
      </c>
      <c r="C13" s="10">
        <v>96000</v>
      </c>
      <c r="D13" s="10">
        <v>2</v>
      </c>
      <c r="E13" s="11" t="s">
        <v>35</v>
      </c>
      <c r="G13" s="18" t="s">
        <v>35</v>
      </c>
    </row>
    <row r="14" spans="1:7" x14ac:dyDescent="0.3">
      <c r="A14" s="14">
        <v>311</v>
      </c>
      <c r="B14" s="10" t="s">
        <v>93</v>
      </c>
      <c r="C14" s="10">
        <v>78000</v>
      </c>
      <c r="D14" s="10">
        <v>5</v>
      </c>
      <c r="E14" s="11" t="s">
        <v>34</v>
      </c>
      <c r="G14" s="18" t="s">
        <v>29</v>
      </c>
    </row>
    <row r="15" spans="1:7" x14ac:dyDescent="0.3">
      <c r="A15" s="14">
        <v>312</v>
      </c>
      <c r="B15" s="10" t="s">
        <v>30</v>
      </c>
      <c r="C15" s="10">
        <v>65000</v>
      </c>
      <c r="D15" s="10">
        <v>3</v>
      </c>
      <c r="E15" s="11" t="s">
        <v>35</v>
      </c>
      <c r="G15" s="18" t="s">
        <v>34</v>
      </c>
    </row>
    <row r="16" spans="1:7" x14ac:dyDescent="0.3">
      <c r="A16" s="14">
        <v>313</v>
      </c>
      <c r="B16" s="10" t="s">
        <v>94</v>
      </c>
      <c r="C16" s="10">
        <v>60000</v>
      </c>
      <c r="D16" s="10">
        <v>7</v>
      </c>
      <c r="E16" s="11" t="s">
        <v>34</v>
      </c>
      <c r="G16" s="18" t="s">
        <v>75</v>
      </c>
    </row>
    <row r="17" spans="1:5" x14ac:dyDescent="0.3">
      <c r="A17" s="14">
        <v>314</v>
      </c>
      <c r="B17" s="10" t="s">
        <v>32</v>
      </c>
      <c r="C17" s="10">
        <v>48000</v>
      </c>
      <c r="D17" s="10">
        <v>5</v>
      </c>
      <c r="E17" s="11" t="s">
        <v>34</v>
      </c>
    </row>
    <row r="18" spans="1:5" x14ac:dyDescent="0.3">
      <c r="A18" s="15">
        <v>315</v>
      </c>
      <c r="B18" s="12" t="s">
        <v>31</v>
      </c>
      <c r="C18" s="12">
        <v>70000</v>
      </c>
      <c r="D18" s="12">
        <v>2</v>
      </c>
      <c r="E18" s="13" t="s">
        <v>35</v>
      </c>
    </row>
    <row r="20" spans="1:5" ht="15.6" x14ac:dyDescent="0.3">
      <c r="A20" s="32" t="s">
        <v>42</v>
      </c>
      <c r="B20" s="32"/>
      <c r="C20" s="32"/>
    </row>
    <row r="21" spans="1:5" x14ac:dyDescent="0.3">
      <c r="A21" s="14" t="s">
        <v>43</v>
      </c>
      <c r="B21" s="10"/>
      <c r="C21" s="11">
        <f>SUM(C4:C18)</f>
        <v>858000</v>
      </c>
    </row>
    <row r="22" spans="1:5" x14ac:dyDescent="0.3">
      <c r="A22" s="14" t="s">
        <v>44</v>
      </c>
      <c r="B22" s="10"/>
      <c r="C22" s="11">
        <f>AVERAGE(C4:C18)</f>
        <v>57200</v>
      </c>
    </row>
    <row r="23" spans="1:5" x14ac:dyDescent="0.3">
      <c r="A23" s="14" t="s">
        <v>45</v>
      </c>
      <c r="B23" s="10"/>
      <c r="C23" s="11">
        <f>MIN(C4:C18)</f>
        <v>25000</v>
      </c>
    </row>
    <row r="24" spans="1:5" x14ac:dyDescent="0.3">
      <c r="A24" s="14" t="s">
        <v>46</v>
      </c>
      <c r="B24" s="10"/>
      <c r="C24" s="11">
        <f>MAX(C4:C18)</f>
        <v>96000</v>
      </c>
    </row>
    <row r="25" spans="1:5" x14ac:dyDescent="0.3">
      <c r="A25" s="15" t="s">
        <v>47</v>
      </c>
      <c r="B25" s="12"/>
      <c r="C25" s="13">
        <f>COUNT(C4:C18)</f>
        <v>15</v>
      </c>
    </row>
    <row r="27" spans="1:5" ht="15.6" x14ac:dyDescent="0.3">
      <c r="A27" s="32" t="s">
        <v>48</v>
      </c>
      <c r="B27" s="32"/>
      <c r="C27" s="32"/>
    </row>
    <row r="28" spans="1:5" x14ac:dyDescent="0.3">
      <c r="A28" s="14" t="s">
        <v>49</v>
      </c>
      <c r="B28" s="10"/>
      <c r="C28" s="11" t="str">
        <f>IF(D4&gt;3,"SATISFYING","NOT SATISFYING")</f>
        <v>NOT SATISFYING</v>
      </c>
    </row>
    <row r="29" spans="1:5" x14ac:dyDescent="0.3">
      <c r="A29" s="14" t="s">
        <v>50</v>
      </c>
      <c r="B29" s="10"/>
      <c r="C29" s="11" t="b">
        <f>AND(C4&gt;10000,B4="Sales")</f>
        <v>0</v>
      </c>
    </row>
    <row r="30" spans="1:5" x14ac:dyDescent="0.3">
      <c r="A30" s="15" t="s">
        <v>51</v>
      </c>
      <c r="B30" s="12"/>
      <c r="C30" s="13" t="b">
        <f>OR(C6&lt;20000,B6="HR")</f>
        <v>0</v>
      </c>
    </row>
    <row r="32" spans="1:5" ht="15.6" x14ac:dyDescent="0.3">
      <c r="A32" s="33" t="s">
        <v>52</v>
      </c>
      <c r="B32" s="34"/>
      <c r="C32" s="35"/>
    </row>
    <row r="33" spans="1:3" x14ac:dyDescent="0.3">
      <c r="A33" s="14" t="s">
        <v>53</v>
      </c>
      <c r="B33" s="10"/>
      <c r="C33" s="11" t="str">
        <f>LEFT(B11,3)</f>
        <v>adv</v>
      </c>
    </row>
    <row r="34" spans="1:3" x14ac:dyDescent="0.3">
      <c r="A34" s="14" t="s">
        <v>54</v>
      </c>
      <c r="B34" s="10"/>
      <c r="C34" s="11" t="str">
        <f>RIGHT(B11,3)</f>
        <v>ent</v>
      </c>
    </row>
    <row r="35" spans="1:3" x14ac:dyDescent="0.3">
      <c r="A35" s="14" t="s">
        <v>55</v>
      </c>
      <c r="B35" s="10"/>
      <c r="C35" s="11" t="str">
        <f>MID(B11,3,3)</f>
        <v>ver</v>
      </c>
    </row>
    <row r="36" spans="1:3" x14ac:dyDescent="0.3">
      <c r="A36" s="15" t="s">
        <v>56</v>
      </c>
      <c r="B36" s="12"/>
      <c r="C36" s="13" t="str">
        <f>CONCATENATE(B12," ",C12)</f>
        <v>HR 45000</v>
      </c>
    </row>
    <row r="38" spans="1:3" ht="15.6" x14ac:dyDescent="0.3">
      <c r="A38" s="32" t="s">
        <v>57</v>
      </c>
      <c r="B38" s="32"/>
      <c r="C38" s="32"/>
    </row>
    <row r="39" spans="1:3" x14ac:dyDescent="0.3">
      <c r="A39" s="14" t="s">
        <v>58</v>
      </c>
      <c r="B39" s="10"/>
      <c r="C39" s="16">
        <f ca="1">TODAY()</f>
        <v>46073</v>
      </c>
    </row>
    <row r="40" spans="1:3" x14ac:dyDescent="0.3">
      <c r="A40" s="14" t="s">
        <v>59</v>
      </c>
      <c r="B40" s="10"/>
      <c r="C40" s="17">
        <f ca="1">NOW()</f>
        <v>46073.77945671296</v>
      </c>
    </row>
    <row r="41" spans="1:3" x14ac:dyDescent="0.3">
      <c r="A41" s="15" t="s">
        <v>60</v>
      </c>
      <c r="B41" s="12"/>
      <c r="C41" s="13"/>
    </row>
    <row r="43" spans="1:3" ht="15.6" x14ac:dyDescent="0.3">
      <c r="A43" s="33" t="s">
        <v>61</v>
      </c>
      <c r="B43" s="34"/>
      <c r="C43" s="35"/>
    </row>
    <row r="44" spans="1:3" x14ac:dyDescent="0.3">
      <c r="A44" s="14" t="s">
        <v>62</v>
      </c>
      <c r="B44" s="10"/>
      <c r="C44" s="23">
        <f>PMT(5%/12, 60, C21)</f>
        <v>-16191.518466561383</v>
      </c>
    </row>
    <row r="45" spans="1:3" x14ac:dyDescent="0.3">
      <c r="A45" s="15" t="s">
        <v>63</v>
      </c>
      <c r="B45" s="12"/>
      <c r="C45" s="24">
        <f>NPV(5%,C4:C18)</f>
        <v>576218.56613651582</v>
      </c>
    </row>
    <row r="47" spans="1:3" ht="15.6" x14ac:dyDescent="0.3">
      <c r="A47" s="32" t="s">
        <v>64</v>
      </c>
      <c r="B47" s="32"/>
      <c r="C47" s="32"/>
    </row>
    <row r="48" spans="1:3" x14ac:dyDescent="0.3">
      <c r="A48" s="14" t="s">
        <v>65</v>
      </c>
      <c r="B48" s="10"/>
      <c r="C48" s="11" t="str">
        <f>VLOOKUP(A8,A4:E18,5,FALSE)</f>
        <v>no</v>
      </c>
    </row>
    <row r="49" spans="1:3" x14ac:dyDescent="0.3">
      <c r="A49" s="14" t="s">
        <v>66</v>
      </c>
      <c r="B49" s="10"/>
      <c r="C49" s="11">
        <f>HLOOKUP(C4,A4:E18,4,FALSE)</f>
        <v>50000</v>
      </c>
    </row>
    <row r="50" spans="1:3" x14ac:dyDescent="0.3">
      <c r="A50" s="15" t="s">
        <v>67</v>
      </c>
      <c r="B50" s="12"/>
      <c r="C50" s="13"/>
    </row>
    <row r="52" spans="1:3" ht="15.6" x14ac:dyDescent="0.3">
      <c r="A52" s="32" t="s">
        <v>68</v>
      </c>
      <c r="B52" s="32"/>
      <c r="C52" s="32"/>
    </row>
    <row r="53" spans="1:3" x14ac:dyDescent="0.3">
      <c r="A53" s="14" t="s">
        <v>69</v>
      </c>
      <c r="B53" s="10"/>
      <c r="C53" s="11">
        <f>AVERAGE(C4:C18)</f>
        <v>57200</v>
      </c>
    </row>
    <row r="54" spans="1:3" x14ac:dyDescent="0.3">
      <c r="A54" s="14" t="s">
        <v>70</v>
      </c>
      <c r="B54" s="10"/>
      <c r="C54" s="11">
        <f>MEDIAN(C4:C18)</f>
        <v>56000</v>
      </c>
    </row>
    <row r="55" spans="1:3" x14ac:dyDescent="0.3">
      <c r="A55" s="14" t="s">
        <v>71</v>
      </c>
      <c r="B55" s="10"/>
      <c r="C55" s="11" t="e">
        <f>MODE(C4:C18)</f>
        <v>#N/A</v>
      </c>
    </row>
    <row r="56" spans="1:3" x14ac:dyDescent="0.3">
      <c r="A56" s="14" t="s">
        <v>72</v>
      </c>
      <c r="B56" s="10"/>
      <c r="C56" s="11">
        <f>STDEV(C4:C18)</f>
        <v>20344.181337318892</v>
      </c>
    </row>
    <row r="57" spans="1:3" x14ac:dyDescent="0.3">
      <c r="A57" s="15" t="s">
        <v>73</v>
      </c>
      <c r="B57" s="12"/>
      <c r="C57" s="13">
        <f>CORREL(C4:C18,D4:D18)</f>
        <v>7.9472131454957462E-2</v>
      </c>
    </row>
  </sheetData>
  <mergeCells count="7">
    <mergeCell ref="A20:C20"/>
    <mergeCell ref="A27:C27"/>
    <mergeCell ref="A32:C32"/>
    <mergeCell ref="A38:C38"/>
    <mergeCell ref="A43:C43"/>
    <mergeCell ref="A47:C47"/>
    <mergeCell ref="A52:C52"/>
  </mergeCells>
  <pageMargins left="0.7" right="0.7" top="0.75" bottom="0.75" header="0.3" footer="0.3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58"/>
  <sheetViews>
    <sheetView workbookViewId="0">
      <selection activeCell="G15" sqref="G15"/>
    </sheetView>
  </sheetViews>
  <sheetFormatPr defaultRowHeight="14.4" x14ac:dyDescent="0.3"/>
  <cols>
    <col min="1" max="1" width="21.44140625" style="18" customWidth="1"/>
    <col min="2" max="3" width="20" style="18" customWidth="1"/>
    <col min="4" max="4" width="22.33203125" style="18" customWidth="1"/>
    <col min="5" max="5" width="22.44140625" style="18" customWidth="1"/>
    <col min="6" max="6" width="8.88671875" style="18"/>
    <col min="7" max="7" width="13.109375" style="18" bestFit="1" customWidth="1"/>
    <col min="8" max="9" width="15.88671875" style="18" customWidth="1"/>
    <col min="10" max="10" width="16.33203125" style="18" bestFit="1" customWidth="1"/>
    <col min="11" max="16384" width="8.88671875" style="18"/>
  </cols>
  <sheetData>
    <row r="2" spans="1:9" ht="30.6" customHeight="1" x14ac:dyDescent="0.6">
      <c r="A2" s="58"/>
      <c r="B2" s="58" t="s">
        <v>116</v>
      </c>
      <c r="C2" s="58"/>
      <c r="D2" s="58"/>
      <c r="E2" s="58"/>
    </row>
    <row r="3" spans="1:9" ht="18" x14ac:dyDescent="0.3">
      <c r="A3" s="19" t="s">
        <v>79</v>
      </c>
      <c r="B3" s="19" t="s">
        <v>80</v>
      </c>
      <c r="C3" s="19" t="s">
        <v>36</v>
      </c>
      <c r="D3" s="19" t="s">
        <v>81</v>
      </c>
      <c r="E3" s="19" t="s">
        <v>37</v>
      </c>
    </row>
    <row r="4" spans="1:9" x14ac:dyDescent="0.3">
      <c r="A4" s="14" t="s">
        <v>95</v>
      </c>
      <c r="B4" s="10">
        <v>13</v>
      </c>
      <c r="C4" s="10">
        <v>26000</v>
      </c>
      <c r="D4" s="10">
        <v>550</v>
      </c>
      <c r="E4" s="11" t="s">
        <v>39</v>
      </c>
      <c r="G4"/>
      <c r="H4"/>
    </row>
    <row r="5" spans="1:9" x14ac:dyDescent="0.3">
      <c r="A5" s="14" t="s">
        <v>96</v>
      </c>
      <c r="B5" s="10">
        <v>26</v>
      </c>
      <c r="C5" s="10">
        <v>36000</v>
      </c>
      <c r="D5" s="10">
        <v>260</v>
      </c>
      <c r="E5" s="11" t="s">
        <v>38</v>
      </c>
      <c r="G5"/>
      <c r="H5"/>
    </row>
    <row r="6" spans="1:9" x14ac:dyDescent="0.3">
      <c r="A6" s="14" t="s">
        <v>97</v>
      </c>
      <c r="B6" s="10">
        <v>33</v>
      </c>
      <c r="C6" s="10">
        <v>35600</v>
      </c>
      <c r="D6" s="10">
        <v>130</v>
      </c>
      <c r="E6" s="11" t="s">
        <v>41</v>
      </c>
      <c r="G6" s="40" t="s">
        <v>74</v>
      </c>
      <c r="H6" s="41" t="s">
        <v>77</v>
      </c>
    </row>
    <row r="7" spans="1:9" x14ac:dyDescent="0.3">
      <c r="A7" s="14" t="s">
        <v>98</v>
      </c>
      <c r="B7" s="10">
        <v>26</v>
      </c>
      <c r="C7" s="10">
        <v>36000</v>
      </c>
      <c r="D7" s="10">
        <v>3360</v>
      </c>
      <c r="E7" s="11" t="s">
        <v>110</v>
      </c>
      <c r="G7" s="42" t="s">
        <v>110</v>
      </c>
      <c r="H7" s="43">
        <v>216050</v>
      </c>
    </row>
    <row r="8" spans="1:9" x14ac:dyDescent="0.3">
      <c r="A8" s="14" t="s">
        <v>99</v>
      </c>
      <c r="B8" s="10">
        <v>45</v>
      </c>
      <c r="C8" s="10">
        <v>66600</v>
      </c>
      <c r="D8" s="10">
        <v>4500</v>
      </c>
      <c r="E8" s="11" t="s">
        <v>40</v>
      </c>
      <c r="G8" s="42" t="s">
        <v>38</v>
      </c>
      <c r="H8" s="43">
        <v>36000</v>
      </c>
    </row>
    <row r="9" spans="1:9" x14ac:dyDescent="0.3">
      <c r="A9" s="14" t="s">
        <v>100</v>
      </c>
      <c r="B9" s="10">
        <v>59</v>
      </c>
      <c r="C9" s="10">
        <v>20000</v>
      </c>
      <c r="D9" s="10">
        <v>250</v>
      </c>
      <c r="E9" s="11" t="s">
        <v>41</v>
      </c>
      <c r="G9" s="42" t="s">
        <v>41</v>
      </c>
      <c r="H9" s="43">
        <v>84420</v>
      </c>
    </row>
    <row r="10" spans="1:9" x14ac:dyDescent="0.3">
      <c r="A10" s="14" t="s">
        <v>101</v>
      </c>
      <c r="B10" s="10">
        <v>73</v>
      </c>
      <c r="C10" s="10">
        <v>36900</v>
      </c>
      <c r="D10" s="10">
        <v>3000</v>
      </c>
      <c r="E10" s="11" t="s">
        <v>110</v>
      </c>
      <c r="G10" s="42" t="s">
        <v>39</v>
      </c>
      <c r="H10" s="43">
        <v>177000</v>
      </c>
    </row>
    <row r="11" spans="1:9" x14ac:dyDescent="0.3">
      <c r="A11" s="14" t="s">
        <v>102</v>
      </c>
      <c r="B11" s="10">
        <v>63</v>
      </c>
      <c r="C11" s="10">
        <v>65000</v>
      </c>
      <c r="D11" s="10">
        <v>2600</v>
      </c>
      <c r="E11" s="11" t="s">
        <v>39</v>
      </c>
      <c r="G11" s="42" t="s">
        <v>40</v>
      </c>
      <c r="H11" s="43">
        <v>112100</v>
      </c>
    </row>
    <row r="12" spans="1:9" x14ac:dyDescent="0.3">
      <c r="A12" s="14" t="s">
        <v>103</v>
      </c>
      <c r="B12" s="10">
        <v>55</v>
      </c>
      <c r="C12" s="10">
        <v>48000</v>
      </c>
      <c r="D12" s="10">
        <v>1300</v>
      </c>
      <c r="E12" s="11" t="s">
        <v>110</v>
      </c>
      <c r="G12" s="42" t="s">
        <v>75</v>
      </c>
      <c r="H12" s="43">
        <v>625570</v>
      </c>
    </row>
    <row r="13" spans="1:9" x14ac:dyDescent="0.3">
      <c r="A13" s="14" t="s">
        <v>104</v>
      </c>
      <c r="B13" s="10">
        <v>47</v>
      </c>
      <c r="C13" s="10">
        <v>75000</v>
      </c>
      <c r="D13" s="10">
        <v>5500</v>
      </c>
      <c r="E13" s="11" t="s">
        <v>39</v>
      </c>
    </row>
    <row r="14" spans="1:9" x14ac:dyDescent="0.3">
      <c r="A14" s="14" t="s">
        <v>105</v>
      </c>
      <c r="B14" s="10">
        <v>32</v>
      </c>
      <c r="C14" s="10">
        <v>45500</v>
      </c>
      <c r="D14" s="10">
        <v>2100</v>
      </c>
      <c r="E14" s="11" t="s">
        <v>40</v>
      </c>
      <c r="H14"/>
      <c r="I14"/>
    </row>
    <row r="15" spans="1:9" x14ac:dyDescent="0.3">
      <c r="A15" s="14" t="s">
        <v>106</v>
      </c>
      <c r="B15" s="10">
        <v>30</v>
      </c>
      <c r="C15" s="10">
        <v>3220</v>
      </c>
      <c r="D15" s="10">
        <v>400</v>
      </c>
      <c r="E15" s="11" t="s">
        <v>41</v>
      </c>
      <c r="H15"/>
      <c r="I15"/>
    </row>
    <row r="16" spans="1:9" x14ac:dyDescent="0.3">
      <c r="A16" s="14" t="s">
        <v>107</v>
      </c>
      <c r="B16" s="10">
        <v>26</v>
      </c>
      <c r="C16" s="10">
        <v>69650</v>
      </c>
      <c r="D16" s="10">
        <v>900</v>
      </c>
      <c r="E16" s="11" t="s">
        <v>110</v>
      </c>
      <c r="H16"/>
      <c r="I16"/>
    </row>
    <row r="17" spans="1:9" x14ac:dyDescent="0.3">
      <c r="A17" s="14" t="s">
        <v>108</v>
      </c>
      <c r="B17" s="10">
        <v>16</v>
      </c>
      <c r="C17" s="10">
        <v>11000</v>
      </c>
      <c r="D17" s="10">
        <v>21500</v>
      </c>
      <c r="E17" s="11" t="s">
        <v>39</v>
      </c>
      <c r="H17"/>
      <c r="I17"/>
    </row>
    <row r="18" spans="1:9" x14ac:dyDescent="0.3">
      <c r="A18" s="14" t="s">
        <v>109</v>
      </c>
      <c r="B18" s="10">
        <v>18</v>
      </c>
      <c r="C18" s="10">
        <v>25500</v>
      </c>
      <c r="D18" s="10">
        <v>1200</v>
      </c>
      <c r="E18" s="11" t="s">
        <v>110</v>
      </c>
      <c r="H18"/>
      <c r="I18"/>
    </row>
    <row r="19" spans="1:9" x14ac:dyDescent="0.3">
      <c r="A19" s="15" t="s">
        <v>111</v>
      </c>
      <c r="B19" s="12">
        <v>23</v>
      </c>
      <c r="C19" s="12">
        <v>25600</v>
      </c>
      <c r="D19" s="12">
        <v>4500</v>
      </c>
      <c r="E19" s="13" t="s">
        <v>41</v>
      </c>
      <c r="H19"/>
      <c r="I19"/>
    </row>
    <row r="20" spans="1:9" x14ac:dyDescent="0.3">
      <c r="H20" s="1"/>
      <c r="I20" s="37"/>
    </row>
    <row r="21" spans="1:9" ht="15.6" x14ac:dyDescent="0.3">
      <c r="A21" s="38" t="s">
        <v>42</v>
      </c>
      <c r="B21" s="38"/>
      <c r="C21" s="38"/>
    </row>
    <row r="22" spans="1:9" x14ac:dyDescent="0.3">
      <c r="A22" s="14" t="s">
        <v>43</v>
      </c>
      <c r="B22" s="10"/>
      <c r="C22" s="11">
        <f>SUM(C4:C19)</f>
        <v>625570</v>
      </c>
    </row>
    <row r="23" spans="1:9" x14ac:dyDescent="0.3">
      <c r="A23" s="14" t="s">
        <v>44</v>
      </c>
      <c r="B23" s="10"/>
      <c r="C23" s="11">
        <f>AVERAGE(C4:C19)</f>
        <v>39098.125</v>
      </c>
    </row>
    <row r="24" spans="1:9" x14ac:dyDescent="0.3">
      <c r="A24" s="14" t="s">
        <v>45</v>
      </c>
      <c r="B24" s="10"/>
      <c r="C24" s="11">
        <f>MIN(C4:C19)</f>
        <v>3220</v>
      </c>
    </row>
    <row r="25" spans="1:9" x14ac:dyDescent="0.3">
      <c r="A25" s="14" t="s">
        <v>46</v>
      </c>
      <c r="B25" s="10"/>
      <c r="C25" s="11">
        <f>MAX(C4:C19)</f>
        <v>75000</v>
      </c>
    </row>
    <row r="26" spans="1:9" x14ac:dyDescent="0.3">
      <c r="A26" s="15" t="s">
        <v>47</v>
      </c>
      <c r="B26" s="12"/>
      <c r="C26" s="13">
        <f>COUNT(C4:C19)</f>
        <v>16</v>
      </c>
    </row>
    <row r="28" spans="1:9" ht="15.6" x14ac:dyDescent="0.3">
      <c r="A28" s="32" t="s">
        <v>48</v>
      </c>
      <c r="B28" s="32"/>
      <c r="C28" s="32"/>
    </row>
    <row r="29" spans="1:9" x14ac:dyDescent="0.3">
      <c r="A29" s="14" t="s">
        <v>49</v>
      </c>
      <c r="B29" s="10"/>
      <c r="C29" s="11" t="str">
        <f>IF(B4&gt;10,"SATISFYING","NOT SATISFYING")</f>
        <v>SATISFYING</v>
      </c>
    </row>
    <row r="30" spans="1:9" x14ac:dyDescent="0.3">
      <c r="A30" s="14" t="s">
        <v>50</v>
      </c>
      <c r="B30" s="10"/>
      <c r="C30" s="11" t="b">
        <f>AND(B4&gt;18,E4="HEALTH")</f>
        <v>0</v>
      </c>
    </row>
    <row r="31" spans="1:9" x14ac:dyDescent="0.3">
      <c r="A31" s="15" t="s">
        <v>51</v>
      </c>
      <c r="B31" s="12"/>
      <c r="C31" s="13" t="b">
        <f>OR(D6&lt;200000,B6="camera")</f>
        <v>1</v>
      </c>
    </row>
    <row r="33" spans="1:3" ht="15.6" x14ac:dyDescent="0.3">
      <c r="A33" s="33" t="s">
        <v>52</v>
      </c>
      <c r="B33" s="34"/>
      <c r="C33" s="35"/>
    </row>
    <row r="34" spans="1:3" x14ac:dyDescent="0.3">
      <c r="A34" s="14" t="s">
        <v>53</v>
      </c>
      <c r="B34" s="10"/>
      <c r="C34" s="11" t="str">
        <f>LEFT(E12,3)</f>
        <v>edu</v>
      </c>
    </row>
    <row r="35" spans="1:3" x14ac:dyDescent="0.3">
      <c r="A35" s="14" t="s">
        <v>54</v>
      </c>
      <c r="B35" s="10"/>
      <c r="C35" s="11" t="str">
        <f>RIGHT(E12,3)</f>
        <v>ion</v>
      </c>
    </row>
    <row r="36" spans="1:3" x14ac:dyDescent="0.3">
      <c r="A36" s="14" t="s">
        <v>55</v>
      </c>
      <c r="B36" s="10"/>
      <c r="C36" s="11" t="str">
        <f>MID(E12,3,3)</f>
        <v>uca</v>
      </c>
    </row>
    <row r="37" spans="1:3" x14ac:dyDescent="0.3">
      <c r="A37" s="15" t="s">
        <v>56</v>
      </c>
      <c r="B37" s="12"/>
      <c r="C37" s="13" t="str">
        <f>CONCATENATE(A12," ",E12)</f>
        <v>p4009 education</v>
      </c>
    </row>
    <row r="39" spans="1:3" ht="15.6" x14ac:dyDescent="0.3">
      <c r="A39" s="32" t="s">
        <v>57</v>
      </c>
      <c r="B39" s="32"/>
      <c r="C39" s="32"/>
    </row>
    <row r="40" spans="1:3" x14ac:dyDescent="0.3">
      <c r="A40" s="14" t="s">
        <v>58</v>
      </c>
      <c r="B40" s="10"/>
      <c r="C40" s="16">
        <f ca="1">TODAY()</f>
        <v>46073</v>
      </c>
    </row>
    <row r="41" spans="1:3" x14ac:dyDescent="0.3">
      <c r="A41" s="14" t="s">
        <v>59</v>
      </c>
      <c r="B41" s="10"/>
      <c r="C41" s="17">
        <f ca="1">NOW()</f>
        <v>46073.77945671296</v>
      </c>
    </row>
    <row r="42" spans="1:3" x14ac:dyDescent="0.3">
      <c r="A42" s="15" t="s">
        <v>60</v>
      </c>
      <c r="B42" s="12"/>
      <c r="C42" s="13"/>
    </row>
    <row r="44" spans="1:3" ht="15.6" x14ac:dyDescent="0.3">
      <c r="A44" s="33" t="s">
        <v>61</v>
      </c>
      <c r="B44" s="34"/>
      <c r="C44" s="35"/>
    </row>
    <row r="45" spans="1:3" x14ac:dyDescent="0.3">
      <c r="A45" s="14" t="s">
        <v>62</v>
      </c>
      <c r="B45" s="10"/>
      <c r="C45" s="23">
        <f>PMT(5%/12, 60, C22)</f>
        <v>-11805.277630683921</v>
      </c>
    </row>
    <row r="46" spans="1:3" x14ac:dyDescent="0.3">
      <c r="A46" s="15" t="s">
        <v>63</v>
      </c>
      <c r="B46" s="12"/>
      <c r="C46" s="24">
        <f>NPV(5%,C4:C18)</f>
        <v>415249.93551051198</v>
      </c>
    </row>
    <row r="48" spans="1:3" ht="15.6" x14ac:dyDescent="0.3">
      <c r="A48" s="32" t="s">
        <v>64</v>
      </c>
      <c r="B48" s="32"/>
      <c r="C48" s="32"/>
    </row>
    <row r="49" spans="1:3" x14ac:dyDescent="0.3">
      <c r="A49" s="14" t="s">
        <v>65</v>
      </c>
      <c r="B49" s="10"/>
      <c r="C49" s="11">
        <f>VLOOKUP(A4,A4:E18,4,FALSE)</f>
        <v>550</v>
      </c>
    </row>
    <row r="50" spans="1:3" x14ac:dyDescent="0.3">
      <c r="A50" s="14" t="s">
        <v>66</v>
      </c>
      <c r="B50" s="10"/>
      <c r="C50" s="11">
        <f>HLOOKUP(B4,A4:E18,4,FALSE)</f>
        <v>26</v>
      </c>
    </row>
    <row r="51" spans="1:3" x14ac:dyDescent="0.3">
      <c r="A51" s="15" t="s">
        <v>67</v>
      </c>
      <c r="B51" s="12"/>
      <c r="C51" s="13"/>
    </row>
    <row r="53" spans="1:3" ht="15.6" x14ac:dyDescent="0.3">
      <c r="A53" s="32" t="s">
        <v>68</v>
      </c>
      <c r="B53" s="32"/>
      <c r="C53" s="32"/>
    </row>
    <row r="54" spans="1:3" x14ac:dyDescent="0.3">
      <c r="A54" s="14" t="s">
        <v>69</v>
      </c>
      <c r="B54" s="10"/>
      <c r="C54" s="11">
        <f>AVERAGE(C4:C18)</f>
        <v>39998</v>
      </c>
    </row>
    <row r="55" spans="1:3" x14ac:dyDescent="0.3">
      <c r="A55" s="14" t="s">
        <v>70</v>
      </c>
      <c r="B55" s="10"/>
      <c r="C55" s="11">
        <f>MEDIAN(C4:C18)</f>
        <v>36000</v>
      </c>
    </row>
    <row r="56" spans="1:3" x14ac:dyDescent="0.3">
      <c r="A56" s="14" t="s">
        <v>71</v>
      </c>
      <c r="B56" s="10"/>
      <c r="C56" s="11"/>
    </row>
    <row r="57" spans="1:3" x14ac:dyDescent="0.3">
      <c r="A57" s="14" t="s">
        <v>72</v>
      </c>
      <c r="B57" s="10"/>
      <c r="C57" s="11">
        <f>STDEV(C4:C18)</f>
        <v>21699.112621750886</v>
      </c>
    </row>
    <row r="58" spans="1:3" x14ac:dyDescent="0.3">
      <c r="A58" s="15" t="s">
        <v>73</v>
      </c>
      <c r="B58" s="12"/>
      <c r="C58" s="13">
        <f>CORREL(B4:B18,D4:D18)</f>
        <v>-0.20152512939204395</v>
      </c>
    </row>
  </sheetData>
  <mergeCells count="7">
    <mergeCell ref="A21:C21"/>
    <mergeCell ref="A28:C28"/>
    <mergeCell ref="A33:C33"/>
    <mergeCell ref="A39:C39"/>
    <mergeCell ref="A44:C44"/>
    <mergeCell ref="A48:C48"/>
    <mergeCell ref="A53:C53"/>
  </mergeCells>
  <phoneticPr fontId="6" type="noConversion"/>
  <pageMargins left="0.7" right="0.7" top="0.75" bottom="0.75" header="0.3" footer="0.3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MARKETING</vt:lpstr>
      <vt:lpstr>FINANCE</vt:lpstr>
      <vt:lpstr>HR</vt:lpstr>
      <vt:lpstr>INSURANCE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Janvi Upadhye</cp:lastModifiedBy>
  <dcterms:created xsi:type="dcterms:W3CDTF">2026-02-14T09:10:13Z</dcterms:created>
  <dcterms:modified xsi:type="dcterms:W3CDTF">2026-02-20T13:16:04Z</dcterms:modified>
</cp:coreProperties>
</file>